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chn\.cursor\Medidesk\Weryfikacja istnienia firm w ZOHO CRM\23102025 sprawdzanie churnu\"/>
    </mc:Choice>
  </mc:AlternateContent>
  <xr:revisionPtr revIDLastSave="0" documentId="13_ncr:1_{F9CABD8C-7651-431A-B6F2-4D2E37FEF991}" xr6:coauthVersionLast="47" xr6:coauthVersionMax="47" xr10:uidLastSave="{00000000-0000-0000-0000-000000000000}"/>
  <bookViews>
    <workbookView xWindow="-110" yWindow="-110" windowWidth="51420" windowHeight="13900" activeTab="4" xr2:uid="{FCD8D301-6C4D-B84F-A9DB-0E161CFC9B20}"/>
  </bookViews>
  <sheets>
    <sheet name="Churn" sheetId="1" r:id="rId1"/>
    <sheet name="Sheet4" sheetId="5" r:id="rId2"/>
    <sheet name="Sheet1" sheetId="2" r:id="rId3"/>
    <sheet name="Sheet2" sheetId="3" r:id="rId4"/>
    <sheet name="Sheet3" sheetId="4" r:id="rId5"/>
  </sheets>
  <calcPr calcId="191028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" i="1" l="1"/>
  <c r="G150" i="1"/>
  <c r="F139" i="1"/>
  <c r="G139" i="1"/>
  <c r="H139" i="1"/>
  <c r="I139" i="1"/>
  <c r="J139" i="1"/>
  <c r="K139" i="1"/>
  <c r="F152" i="1"/>
  <c r="K128" i="1"/>
  <c r="P128" i="1"/>
  <c r="Q128" i="1"/>
  <c r="L123" i="1"/>
  <c r="S120" i="1"/>
  <c r="T112" i="1"/>
  <c r="S114" i="1"/>
  <c r="S122" i="1"/>
  <c r="S108" i="1"/>
  <c r="T108" i="1" s="1"/>
  <c r="U108" i="1" s="1"/>
  <c r="U110" i="1"/>
  <c r="U109" i="1"/>
  <c r="M105" i="1"/>
  <c r="O105" i="1"/>
  <c r="T105" i="1"/>
  <c r="U105" i="1" s="1"/>
  <c r="V105" i="1" s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 s="1"/>
  <c r="T103" i="1" s="1"/>
  <c r="U103" i="1" s="1"/>
  <c r="V103" i="1" s="1"/>
  <c r="Q111" i="1"/>
  <c r="T111" i="1"/>
  <c r="U111" i="1" s="1"/>
  <c r="S117" i="1"/>
  <c r="T104" i="1"/>
  <c r="U104" i="1" s="1"/>
  <c r="V104" i="1" s="1"/>
  <c r="P107" i="1"/>
  <c r="U107" i="1"/>
  <c r="R100" i="1"/>
  <c r="S100" i="1"/>
  <c r="T100" i="1" s="1"/>
  <c r="U100" i="1" s="1"/>
  <c r="V100" i="1" s="1"/>
  <c r="W100" i="1" s="1"/>
  <c r="R98" i="1"/>
  <c r="S98" i="1" s="1"/>
  <c r="T98" i="1" s="1"/>
  <c r="U98" i="1" s="1"/>
  <c r="V98" i="1" s="1"/>
  <c r="W98" i="1" s="1"/>
  <c r="R101" i="1"/>
  <c r="S101" i="1" s="1"/>
  <c r="T101" i="1" s="1"/>
  <c r="U101" i="1" s="1"/>
  <c r="V101" i="1" s="1"/>
  <c r="W101" i="1" s="1"/>
  <c r="M102" i="1"/>
  <c r="N102" i="1"/>
  <c r="O102" i="1"/>
  <c r="P102" i="1"/>
  <c r="Q102" i="1"/>
  <c r="R102" i="1"/>
  <c r="S102" i="1" s="1"/>
  <c r="T102" i="1" s="1"/>
  <c r="U102" i="1" s="1"/>
  <c r="V102" i="1" s="1"/>
  <c r="W102" i="1" s="1"/>
  <c r="J99" i="1"/>
  <c r="K99" i="1"/>
  <c r="L99" i="1"/>
  <c r="M99" i="1"/>
  <c r="N99" i="1"/>
  <c r="O99" i="1"/>
  <c r="P99" i="1"/>
  <c r="Q99" i="1"/>
  <c r="R99" i="1"/>
  <c r="S99" i="1" s="1"/>
  <c r="T99" i="1" s="1"/>
  <c r="U99" i="1" s="1"/>
  <c r="V99" i="1" s="1"/>
  <c r="W99" i="1" s="1"/>
  <c r="U85" i="1"/>
  <c r="V85" i="1"/>
  <c r="W85" i="1"/>
  <c r="X85" i="1"/>
  <c r="Y85" i="1"/>
  <c r="Z85" i="1"/>
  <c r="U86" i="1"/>
  <c r="V86" i="1"/>
  <c r="W86" i="1"/>
  <c r="X86" i="1"/>
  <c r="Y86" i="1"/>
  <c r="Z86" i="1"/>
  <c r="U87" i="1"/>
  <c r="V87" i="1"/>
  <c r="W87" i="1"/>
  <c r="X87" i="1"/>
  <c r="Y87" i="1"/>
  <c r="Z87" i="1"/>
  <c r="U88" i="1"/>
  <c r="V88" i="1"/>
  <c r="W88" i="1"/>
  <c r="X88" i="1"/>
  <c r="Y88" i="1"/>
  <c r="Z88" i="1"/>
  <c r="V84" i="1"/>
  <c r="W84" i="1" s="1"/>
  <c r="X84" i="1" s="1"/>
  <c r="Y84" i="1" s="1"/>
  <c r="Z84" i="1" s="1"/>
  <c r="O92" i="1"/>
  <c r="R92" i="1"/>
  <c r="S92" i="1"/>
  <c r="T92" i="1" s="1"/>
  <c r="V92" i="1"/>
  <c r="W92" i="1" s="1"/>
  <c r="X92" i="1" s="1"/>
  <c r="Y92" i="1" s="1"/>
  <c r="I93" i="1"/>
  <c r="S93" i="1"/>
  <c r="T93" i="1" s="1"/>
  <c r="U93" i="1" s="1"/>
  <c r="V93" i="1" s="1"/>
  <c r="W93" i="1" s="1"/>
  <c r="X93" i="1" s="1"/>
  <c r="Y93" i="1" s="1"/>
  <c r="F89" i="1"/>
  <c r="L89" i="1"/>
  <c r="S89" i="1"/>
  <c r="T89" i="1" s="1"/>
  <c r="U89" i="1" s="1"/>
  <c r="V89" i="1" s="1"/>
  <c r="W89" i="1" s="1"/>
  <c r="X89" i="1" s="1"/>
  <c r="Y89" i="1" s="1"/>
  <c r="Z89" i="1" s="1"/>
  <c r="S94" i="1"/>
  <c r="T94" i="1" s="1"/>
  <c r="U94" i="1" s="1"/>
  <c r="V94" i="1" s="1"/>
  <c r="W94" i="1" s="1"/>
  <c r="X94" i="1" s="1"/>
  <c r="S90" i="1"/>
  <c r="T90" i="1" s="1"/>
  <c r="U90" i="1" s="1"/>
  <c r="V90" i="1" s="1"/>
  <c r="W90" i="1" s="1"/>
  <c r="X90" i="1" s="1"/>
  <c r="Y90" i="1" s="1"/>
  <c r="T81" i="1"/>
  <c r="U81" i="1" s="1"/>
  <c r="V81" i="1" s="1"/>
  <c r="W81" i="1" s="1"/>
  <c r="X81" i="1" s="1"/>
  <c r="Y81" i="1" s="1"/>
  <c r="Z81" i="1" s="1"/>
  <c r="S83" i="1"/>
  <c r="T83" i="1" s="1"/>
  <c r="U83" i="1" s="1"/>
  <c r="V83" i="1" s="1"/>
  <c r="W83" i="1" s="1"/>
  <c r="X83" i="1" s="1"/>
  <c r="Y83" i="1" s="1"/>
  <c r="Z83" i="1" s="1"/>
  <c r="R78" i="1"/>
  <c r="S78" i="1" s="1"/>
  <c r="T78" i="1" s="1"/>
  <c r="U78" i="1" s="1"/>
  <c r="V78" i="1" s="1"/>
  <c r="W78" i="1" s="1"/>
  <c r="X78" i="1" s="1"/>
  <c r="Y78" i="1" s="1"/>
  <c r="Z78" i="1" s="1"/>
  <c r="AA78" i="1" s="1"/>
  <c r="H80" i="1"/>
  <c r="J80" i="1"/>
  <c r="S80" i="1"/>
  <c r="T80" i="1" s="1"/>
  <c r="U80" i="1" s="1"/>
  <c r="V80" i="1" s="1"/>
  <c r="W80" i="1" s="1"/>
  <c r="X80" i="1" s="1"/>
  <c r="Y80" i="1" s="1"/>
  <c r="Z80" i="1" s="1"/>
  <c r="AA80" i="1" s="1"/>
  <c r="S79" i="1"/>
  <c r="T79" i="1" s="1"/>
  <c r="U79" i="1" s="1"/>
  <c r="V79" i="1" s="1"/>
  <c r="W79" i="1" s="1"/>
  <c r="X79" i="1" s="1"/>
  <c r="Y79" i="1" s="1"/>
  <c r="Z79" i="1" s="1"/>
  <c r="AA79" i="1" s="1"/>
  <c r="V76" i="1"/>
  <c r="W76" i="1" s="1"/>
  <c r="X76" i="1" s="1"/>
  <c r="Y76" i="1" s="1"/>
  <c r="Z76" i="1" s="1"/>
  <c r="AA76" i="1" s="1"/>
  <c r="AB76" i="1" s="1"/>
  <c r="F91" i="1"/>
  <c r="U91" i="1"/>
  <c r="V91" i="1" s="1"/>
  <c r="W91" i="1" s="1"/>
  <c r="X91" i="1" s="1"/>
  <c r="Y91" i="1" s="1"/>
  <c r="S74" i="1"/>
  <c r="T74" i="1" s="1"/>
  <c r="U74" i="1" s="1"/>
  <c r="V74" i="1" s="1"/>
  <c r="W74" i="1" s="1"/>
  <c r="X74" i="1" s="1"/>
  <c r="Y74" i="1" s="1"/>
  <c r="Z74" i="1" s="1"/>
  <c r="AA74" i="1" s="1"/>
  <c r="AB74" i="1" s="1"/>
  <c r="V77" i="1"/>
  <c r="W77" i="1" s="1"/>
  <c r="X77" i="1" s="1"/>
  <c r="Y77" i="1" s="1"/>
  <c r="Z77" i="1" s="1"/>
  <c r="AA77" i="1" s="1"/>
  <c r="AB77" i="1" s="1"/>
  <c r="J96" i="1"/>
  <c r="K96" i="1"/>
  <c r="L96" i="1"/>
  <c r="M96" i="1"/>
  <c r="N96" i="1"/>
  <c r="O96" i="1"/>
  <c r="P96" i="1"/>
  <c r="Q96" i="1"/>
  <c r="R96" i="1"/>
  <c r="S96" i="1"/>
  <c r="T96" i="1"/>
  <c r="U96" i="1" s="1"/>
  <c r="V96" i="1" s="1"/>
  <c r="W96" i="1" s="1"/>
  <c r="X96" i="1" s="1"/>
  <c r="U95" i="1"/>
  <c r="V95" i="1" s="1"/>
  <c r="W95" i="1" s="1"/>
  <c r="X95" i="1" s="1"/>
  <c r="G97" i="1"/>
  <c r="H97" i="1"/>
  <c r="I97" i="1"/>
  <c r="J97" i="1"/>
  <c r="K97" i="1"/>
  <c r="L97" i="1"/>
  <c r="M97" i="1"/>
  <c r="N97" i="1"/>
  <c r="O97" i="1"/>
  <c r="P97" i="1"/>
  <c r="Q97" i="1"/>
  <c r="R97" i="1" s="1"/>
  <c r="S97" i="1" s="1"/>
  <c r="T97" i="1" s="1"/>
  <c r="U97" i="1" s="1"/>
  <c r="V97" i="1" s="1"/>
  <c r="W97" i="1" s="1"/>
  <c r="S70" i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S71" i="1"/>
  <c r="T71" i="1" s="1"/>
  <c r="U71" i="1" s="1"/>
  <c r="V71" i="1" s="1"/>
  <c r="W71" i="1" s="1"/>
  <c r="X71" i="1" s="1"/>
  <c r="Y71" i="1" s="1"/>
  <c r="Z71" i="1" s="1"/>
  <c r="AA71" i="1" s="1"/>
  <c r="AB71" i="1" s="1"/>
  <c r="AC71" i="1" s="1"/>
  <c r="U69" i="1"/>
  <c r="V69" i="1" s="1"/>
  <c r="W69" i="1" s="1"/>
  <c r="X69" i="1" s="1"/>
  <c r="Y69" i="1" s="1"/>
  <c r="Z69" i="1" s="1"/>
  <c r="AA69" i="1" s="1"/>
  <c r="AB69" i="1" s="1"/>
  <c r="AC69" i="1" s="1"/>
  <c r="F73" i="1"/>
  <c r="T73" i="1"/>
  <c r="U73" i="1" s="1"/>
  <c r="V73" i="1" s="1"/>
  <c r="W73" i="1" s="1"/>
  <c r="X73" i="1" s="1"/>
  <c r="Y73" i="1" s="1"/>
  <c r="Z73" i="1" s="1"/>
  <c r="AA73" i="1" s="1"/>
  <c r="AB73" i="1" s="1"/>
  <c r="AC73" i="1" s="1"/>
  <c r="Q68" i="1"/>
  <c r="T68" i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G65" i="1"/>
  <c r="S65" i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T60" i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S63" i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R66" i="1"/>
  <c r="S66" i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Z64" i="1"/>
  <c r="AC64" i="1"/>
  <c r="AD64" i="1" s="1"/>
  <c r="AE64" i="1" s="1"/>
  <c r="H62" i="1"/>
  <c r="I62" i="1"/>
  <c r="J62" i="1"/>
  <c r="K62" i="1"/>
  <c r="L62" i="1"/>
  <c r="M62" i="1"/>
  <c r="N62" i="1"/>
  <c r="O62" i="1"/>
  <c r="P62" i="1"/>
  <c r="Q62" i="1"/>
  <c r="R62" i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J61" i="1"/>
  <c r="T61" i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E59" i="1"/>
  <c r="AF59" i="1"/>
  <c r="AG59" i="1"/>
  <c r="U55" i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W72" i="1"/>
  <c r="X72" i="1" s="1"/>
  <c r="Y72" i="1" s="1"/>
  <c r="Z72" i="1" s="1"/>
  <c r="AA72" i="1" s="1"/>
  <c r="AB72" i="1" s="1"/>
  <c r="AC72" i="1" s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S57" i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 s="1"/>
  <c r="S118" i="1" s="1"/>
  <c r="R119" i="1"/>
  <c r="S119" i="1" s="1"/>
  <c r="S121" i="1"/>
  <c r="T58" i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V75" i="1"/>
  <c r="M67" i="1"/>
  <c r="U67" i="1"/>
  <c r="V67" i="1"/>
  <c r="W67" i="1"/>
  <c r="X67" i="1"/>
  <c r="Y67" i="1"/>
  <c r="Z67" i="1"/>
  <c r="AA67" i="1"/>
  <c r="AB67" i="1"/>
  <c r="AC67" i="1" s="1"/>
  <c r="AD67" i="1" s="1"/>
  <c r="S54" i="1"/>
  <c r="T54" i="1" s="1"/>
  <c r="U54" i="1" s="1"/>
  <c r="V54" i="1" s="1"/>
  <c r="W54" i="1" s="1"/>
  <c r="X54" i="1" s="1"/>
  <c r="Y54" i="1" s="1"/>
  <c r="AC54" i="1"/>
  <c r="AD54" i="1" s="1"/>
  <c r="AE54" i="1" s="1"/>
  <c r="AF54" i="1" s="1"/>
  <c r="AG54" i="1" s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S50" i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S51" i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W53" i="1"/>
  <c r="Y53" i="1"/>
  <c r="AC53" i="1"/>
  <c r="AD53" i="1"/>
  <c r="AE53" i="1"/>
  <c r="AF53" i="1"/>
  <c r="AG53" i="1"/>
  <c r="AH53" i="1"/>
  <c r="AI53" i="1"/>
  <c r="AJ53" i="1"/>
  <c r="AK53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V45" i="1"/>
  <c r="W45" i="1" s="1"/>
  <c r="X45" i="1" s="1"/>
  <c r="Y45" i="1" s="1"/>
  <c r="Z45" i="1" s="1"/>
  <c r="AA45" i="1" s="1"/>
  <c r="AB45" i="1" s="1"/>
  <c r="AC45" i="1" s="1"/>
  <c r="AD45" i="1" s="1"/>
  <c r="H43" i="1"/>
  <c r="S43" i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R44" i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R46" i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L41" i="1"/>
  <c r="M41" i="1"/>
  <c r="N41" i="1"/>
  <c r="O41" i="1"/>
  <c r="P41" i="1"/>
  <c r="Q41" i="1"/>
  <c r="R41" i="1"/>
  <c r="S41" i="1"/>
  <c r="T41" i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T35" i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C34" i="1"/>
  <c r="S40" i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S38" i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T37" i="1"/>
  <c r="AC37" i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M115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S31" i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S26" i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J26" i="1" s="1"/>
  <c r="AI26" i="1"/>
  <c r="AL26" i="1"/>
  <c r="AM26" i="1"/>
  <c r="AP26" i="1"/>
  <c r="U39" i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W36" i="1"/>
  <c r="X36" i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R21" i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T23" i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B42" i="1"/>
  <c r="AG42" i="1"/>
  <c r="AH42" i="1" s="1"/>
  <c r="AI42" i="1" s="1"/>
  <c r="AJ42" i="1" s="1"/>
  <c r="AK42" i="1" s="1"/>
  <c r="AL42" i="1" s="1"/>
  <c r="AM42" i="1" s="1"/>
  <c r="M32" i="1"/>
  <c r="P32" i="1"/>
  <c r="S32" i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L24" i="1"/>
  <c r="S24" i="1"/>
  <c r="T24" i="1" s="1"/>
  <c r="U24" i="1" s="1"/>
  <c r="V24" i="1" s="1"/>
  <c r="W24" i="1" s="1"/>
  <c r="X24" i="1"/>
  <c r="Y24" i="1"/>
  <c r="Z24" i="1"/>
  <c r="AA24" i="1"/>
  <c r="AB24" i="1"/>
  <c r="AC24" i="1" s="1"/>
  <c r="AD24" i="1" s="1"/>
  <c r="AE24" i="1" s="1"/>
  <c r="T29" i="1"/>
  <c r="U29" i="1" s="1"/>
  <c r="V29" i="1" s="1"/>
  <c r="W29" i="1" s="1"/>
  <c r="X29" i="1" s="1"/>
  <c r="Y29" i="1" s="1"/>
  <c r="AC29" i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F19" i="1"/>
  <c r="G19" i="1"/>
  <c r="H19" i="1"/>
  <c r="I19" i="1"/>
  <c r="J19" i="1"/>
  <c r="K19" i="1"/>
  <c r="L19" i="1"/>
  <c r="M19" i="1"/>
  <c r="N19" i="1"/>
  <c r="O19" i="1"/>
  <c r="S28" i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I30" i="1"/>
  <c r="R30" i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S20" i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S13" i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O16" i="1"/>
  <c r="S16" i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B12" i="1"/>
  <c r="AJ12" i="1"/>
  <c r="AK12" i="1" s="1"/>
  <c r="AL12" i="1" s="1"/>
  <c r="AM12" i="1" s="1"/>
  <c r="AN12" i="1" s="1"/>
  <c r="S15" i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H17" i="1"/>
  <c r="S17" i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R14" i="1"/>
  <c r="S14" i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S22" i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N11" i="1"/>
  <c r="T11" i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S10" i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A7" i="1"/>
  <c r="AB7" i="1"/>
  <c r="AC7" i="1"/>
  <c r="AD7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 s="1"/>
  <c r="T9" i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N6" i="1"/>
  <c r="Q6" i="1"/>
  <c r="S6" i="1"/>
  <c r="T6" i="1" s="1"/>
  <c r="U6" i="1" s="1"/>
  <c r="V6" i="1" s="1"/>
  <c r="W6" i="1" s="1"/>
  <c r="X6" i="1" s="1"/>
  <c r="Y6" i="1"/>
  <c r="Z6" i="1"/>
  <c r="AA6" i="1" s="1"/>
  <c r="AB6" i="1" s="1"/>
  <c r="AC6" i="1" s="1"/>
  <c r="AD6" i="1" s="1"/>
  <c r="AE6" i="1" s="1"/>
  <c r="G5" i="1"/>
  <c r="H5" i="1"/>
  <c r="I5" i="1"/>
  <c r="J5" i="1"/>
  <c r="K5" i="1"/>
  <c r="L5" i="1"/>
  <c r="M5" i="1"/>
  <c r="N5" i="1"/>
  <c r="O5" i="1"/>
  <c r="P5" i="1"/>
  <c r="Q5" i="1"/>
  <c r="R5" i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H55" i="1" l="1"/>
  <c r="AO35" i="1"/>
  <c r="AW5" i="1"/>
  <c r="AK47" i="1"/>
  <c r="AI55" i="1" l="1"/>
  <c r="AX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tc={3EDC6814-F82C-0E4A-9F2C-5D51B6D6A7CF}</author>
    <author>tc={25DCC340-7340-E64B-B66B-B1C10219A1C2}</author>
    <author>tc={9729F480-0CE0-9648-848E-19559888B308}</author>
    <author>tc={F940E794-DB9A-9443-989A-B71BD4CF6F68}</author>
    <author>tc={1B9A2DCC-988A-D643-881A-75CD978992DC}</author>
    <author>tc={A1A331F3-1529-B74B-A5B7-3F0BAF8E97A3}</author>
    <author>tc={00DAB187-1561-3545-BC2F-88945DAE9097}</author>
    <author>tc={6B9598A3-D514-574D-86C2-2C1D914C1866}</author>
    <author>tc={3731BD4E-0E65-CE4D-BC3A-F49846A327CB}</author>
    <author>tc={403E9149-8469-F04A-B82D-907C78902F25}</author>
    <author>tc={1E487052-F29C-494D-B69B-0B440D9D5849}</author>
    <author>tc={3B96EDA4-51CE-F140-9D7A-9CCC98FE751A}</author>
    <author>tc={6E355EED-485B-6746-9259-9337B49DF57E}</author>
    <author>tc={F4F0384E-B6FB-6046-8C18-A5CDF903B980}</author>
    <author>tc={B57D9576-8743-1746-8F3A-848B798240E1}</author>
    <author>tc={9C87AD74-BD10-AA4F-9C8F-84FD779C1AD1}</author>
    <author>tc={FF6C7D65-ABA8-7F4A-8F09-52678923A972}</author>
    <author>tc={672494CA-2420-034E-AA0E-67185CD42C47}</author>
    <author>tc={C63AB574-BA76-794C-A06B-EBC9ADD71CBF}</author>
    <author>tc={137AB182-D235-2646-A4AC-6AC531C0A749}</author>
    <author>tc={DDA2B24B-C4A7-824E-A094-9EFDEC0A68D5}</author>
    <author>tc={99E64F12-3AA4-C144-8210-97D8CFF4F7A8}</author>
    <author>tc={98A5AE0C-6E1D-434C-B5F3-BA2F595EA5D2}</author>
    <author>tc={CCAC9F4E-3F57-9E49-A691-01100313DC2C}</author>
    <author>tc={2B716A2B-8BB4-4246-B4D7-16777F968461}</author>
    <author>tc={50E32657-8226-3744-A06C-48662A273979}</author>
    <author>tc={CFA90144-0503-9A47-8C86-84757C309498}</author>
    <author>tc={E51B30FA-B01E-D245-8B9C-2A3EBB1AE120}</author>
    <author>tc={CF6BAF3E-0964-6349-ACD5-8BEE9A235C1A}</author>
    <author>tc={040E916C-DC1A-B349-93F3-93FB32A059CB}</author>
    <author>tc={6B098231-C573-034C-BF0C-6C95B486C7A4}</author>
    <author>tc={8EA5C376-3850-6F41-B594-7F2119598248}</author>
    <author>tc={9FAD4E5A-173C-674F-9116-352F307E3EDB}</author>
    <author>tc={F7A67D6F-3E17-2B41-B96A-DFB393CB1A96}</author>
    <author>tc={484F3C6B-0007-E14E-9CD8-14B721A3A080}</author>
    <author>tc={61800963-23DD-B845-AD6F-FABA70EA0D7B}</author>
    <author>tc={806D44E5-F3BD-F44E-B4E7-37D28591E9FC}</author>
    <author>tc={960C5F71-4619-CC4D-B4CF-E08D45852849}</author>
    <author>tc={D87C20BD-010F-BE44-8DFB-E1F480934165}</author>
    <author>tc={998D3F06-C955-5B4B-9696-EEA66DB79DD2}</author>
    <author>tc={4A584B6C-E9C0-3746-8D04-47BADC60DA8E}</author>
    <author>tc={A7783CBF-52E7-0C40-A9B0-FF176283A532}</author>
    <author>tc={D786F6A3-3E6C-6C4D-B42B-BB4A73EACD3B}</author>
    <author>tc={FBBE20D8-5240-6D4F-ADB7-9217578D3602}</author>
    <author>tc={A8E89848-92C8-5A4E-ABAD-43A0151D123F}</author>
    <author>tc={4143031E-5475-1849-B21D-1EC62555F756}</author>
    <author>tc={83402CE8-D3D1-C74E-8D99-03C820EC601F}</author>
    <author>tc={1BB510ED-69D3-714C-B509-A5EE487A21E4}</author>
    <author>tc={C15ADBF5-6CD3-6B4E-AE11-DA237795DC9F}</author>
    <author>tc={AAA29239-F144-744E-90E7-4C9ACCA8F155}</author>
    <author>tc={BDA0E555-4D9E-A249-9B8C-8FF9DEA14B6B}</author>
    <author>tc={5C4BC434-42B6-CF44-A57B-A6650BB89380}</author>
    <author>tc={48DAD31E-4379-BE49-AE72-11703897E6B0}</author>
    <author>tc={B52E7A38-6C2E-F941-941D-5947755406FB}</author>
    <author>tc={63A2B638-257D-5748-904E-7EC66DA9A43A}</author>
    <author>tc={1047ED95-7B9D-3B4B-B1A5-77D5EB733AB3}</author>
    <author>tc={A7DB625A-833C-3043-86F3-7A50CF6E69F6}</author>
    <author>tc={52620AB8-E9A1-7944-A198-021FC8C09DE9}</author>
    <author>tc={392960D7-E0C8-0645-8054-650B4E1D48E0}</author>
    <author>tc={3D12B392-90AD-6146-9194-17C42FD85DB7}</author>
    <author>tc={7303FFC4-EC42-774C-8A1D-3CBD885A5AA9}</author>
    <author>tc={0844AD5A-7A33-7A4A-90C0-3FEE0824DDCC}</author>
    <author>tc={39C754CE-5EC1-C74D-97A7-277F71A682D5}</author>
    <author>tc={C311766F-32F9-8742-A065-4ECB2935B5DC}</author>
    <author>tc={D02CE754-F3BA-C342-A380-B9808E8774C9}</author>
    <author>tc={59191915-0BE9-D24E-A3C4-4B2B6670C34B}</author>
    <author>tc={2B03D74E-AA2F-DC49-AD0D-58AEBF9DED45}</author>
    <author>tc={81387DB3-5F8D-3B40-B7AE-7FD8BBDD8BAB}</author>
    <author>tc={6FDBC147-A34C-894B-9637-9902BF93B7E4}</author>
    <author>tc={88C6FDC2-6406-8143-9A68-5A219A8CD8F4}</author>
    <author>tc={A9FE6305-ECE6-E44F-9E8F-02789E3C6B95}</author>
    <author>tc={BE3F17D9-B9C2-3041-81C0-414538B41877}</author>
    <author>tc={D421EC11-75A0-8840-BEAE-563800081D70}</author>
    <author>tc={187597D3-4BB2-5445-ACD2-8ACC61701C89}</author>
    <author>tc={A1B84BE4-CD4C-534B-BAF0-5301680347BB}</author>
    <author>tc={3734F4B4-A634-BE4B-9081-C277E6A55F93}</author>
    <author>tc={856B3EC7-A9CF-E348-843F-BCDC50474BF9}</author>
    <author>tc={A414CB48-C33B-144B-8C36-4FF4FDC6BF26}</author>
    <author>tc={965BC709-43B1-494B-B6E8-34051C0D3456}</author>
    <author>tc={5215DFF4-A230-F94D-BCE8-CF48CF049F84}</author>
    <author>tc={A49731F1-3A6F-934A-A8AA-A59E56A4C8E5}</author>
    <author>tc={B499EF35-96DB-3E42-B0C9-120B6CE72193}</author>
    <author>tc={8DABC58E-8E99-394D-B566-A10937C0BF0D}</author>
    <author>tc={3EE3E03B-6FFF-B443-9E8D-BB388588653D}</author>
    <author>tc={71FBDF2C-27EA-4749-81EB-11EAC442C013}</author>
    <author>tc={46B91D4D-3E46-2246-A027-06D72CEEF9A9}</author>
    <author>tc={F2620687-6212-874E-BEA6-4036A5BC962B}</author>
    <author>tc={24F7F2D3-2F95-1044-A813-C013A6C187F1}</author>
    <author>tc={19355406-4DFE-8140-9AC1-515FFE3BC029}</author>
    <author>tc={4EE55947-7ECF-E743-8820-5E8F351D7A85}</author>
    <author>tc={86B4C4E1-C3A4-2C48-97C3-A91B96234334}</author>
    <author>tc={26F51806-E4C7-6845-A91C-A7708EC70809}</author>
    <author>tc={3A3A3371-AFDE-ED41-AD73-FA395F01429F}</author>
    <author>tc={25405691-3C0D-A149-BC62-4E6F2FC2D586}</author>
    <author>tc={4AD4EAD7-87D1-9A42-BC37-3D47623C6B42}</author>
    <author>tc={3BE5F3E3-B17A-F44F-A0E2-0B6CBE1B2316}</author>
    <author>tc={9160FBFB-BFCE-5B4D-986D-617B7882A623}</author>
    <author>tc={582B7D48-72D7-3C4B-BF94-5B4EB6D96064}</author>
    <author>tc={129CEA71-5B2D-FF44-A3BE-31EBF0AC3A8E}</author>
    <author>tc={DF82E842-B71D-BD40-9ABD-5E06DFBE2ADD}</author>
    <author>tc={B6F8CAE1-D3C8-EB42-837A-83C5A651D4FB}</author>
    <author>tc={00837897-B3A7-0442-AF65-17FB2DEA1EDA}</author>
    <author>tc={5DEBDBA9-7BEA-C246-86F9-DEA3974B32ED}</author>
    <author>tc={91E2DFA9-1ACB-E744-B0FF-97576CDD304B}</author>
    <author>tc={A007D6E8-62F3-CB4E-9754-4286F7C720F0}</author>
    <author>tc={932DB7E0-C45A-3547-A6D5-F8758FBEBDBC}</author>
    <author>tc={2066925B-2781-9E4C-9637-5851688688E3}</author>
    <author>tc={AC804A90-6214-894A-83CD-80C39B8216CC}</author>
    <author>tc={8BAB7649-82BA-684A-A8B6-34680C29A1AE}</author>
    <author>tc={0C5CAC90-3D2E-CD40-A4E5-853B78BA6C05}</author>
    <author>tc={1141D4FD-E160-3647-9A4B-FCCA1E473411}</author>
    <author>tc={8A0F19B4-1422-E549-80C8-B4AF35B7D752}</author>
    <author>tc={3DF3CA6D-C7D5-894B-B4D4-29075EEF3B04}</author>
    <author>tc={10C748B1-0A44-2040-8BDA-E9940DA24FD9}</author>
    <author>tc={B26B02A6-6A24-CA43-8737-40C4A3249989}</author>
    <author>tc={DD661895-FBE8-1D44-9AD0-53BEDD54C1C3}</author>
    <author>tc={C1E3BFAD-7B50-DE49-B8B5-B6C934707537}</author>
    <author>tc={0E17754A-6F32-3E40-A67F-AE1940EFDEA3}</author>
    <author>tc={0E7EA3D2-5947-1D45-8F29-5F5E11997FC6}</author>
    <author>tc={12C09628-8D8F-0144-B508-857DB170FCF8}</author>
    <author>tc={F67123A5-8D69-3948-9B30-9F56547E49A6}</author>
    <author>tc={C2EE6D6A-527E-DD4C-A7BC-7620C92F6803}</author>
    <author>tc={D8E22521-4113-F143-A9E1-DD6CE8E59535}</author>
    <author>tc={B8719FAF-84C0-1749-A259-A23C43A9F51F}</author>
    <author>tc={12A10F79-E785-7C49-8CB4-457A9CA1C531}</author>
    <author>tc={CC0FFC4E-408F-8A4D-82E2-24F3D14BF118}</author>
    <author>tc={E909968C-0FB6-3345-B22F-6EFC0BC24A8F}</author>
    <author>tc={0DDC10F6-7A06-7F49-8A93-0E79F1F97870}</author>
    <author>tc={0E1D937A-C280-804E-B586-2A27DD4A6CF0}</author>
    <author>tc={FA0696D1-C5D8-524A-94D6-777E0980073F}</author>
    <author>tc={654D572F-B770-E14F-806D-6DC40C1B5E5F}</author>
    <author>tc={30D2F569-2F38-8647-B3FB-497A2196A7F6}</author>
    <author>tc={71018561-B42E-6D43-A59D-528E985F3063}</author>
    <author>tc={35D78D3A-418B-5D42-BEA8-E037789A13EA}</author>
    <author>tc={0B9D28E3-05D6-0A4B-A1FE-A0C2093D11A8}</author>
    <author>tc={97D3621C-28F2-2045-924D-D732475CEB04}</author>
    <author>tc={F1165379-6C58-394B-9A78-E2106E24C126}</author>
    <author>tc={2A70E741-6FBE-3F4A-8F0F-F5B113D17309}</author>
    <author>tc={9A2FCBCA-6F51-E14E-8394-35FBA7933A15}</author>
    <author>tc={6C514631-4CB7-214D-B3D2-2E127550594C}</author>
    <author>tc={81B9EF95-0151-BD47-8B11-6953C38C26BB}</author>
    <author>tc={CC2CB505-8AB0-1C42-B445-E8726EC69452}</author>
    <author>tc={07C077E3-FB33-2C47-911D-95579C8FD568}</author>
  </authors>
  <commentList>
    <comment ref="AY5" authorId="0" shapeId="0" xr:uid="{3EDC6814-F82C-0E4A-9F2C-5D51B6D6A7CF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we wrześniu</t>
      </text>
    </comment>
    <comment ref="X6" authorId="1" shapeId="0" xr:uid="{25DCC340-7340-E64B-B66B-B1C10219A1C2}">
      <text>
        <t>[Threaded comment]
Your version of Excel allows you to read this threaded comment; however, any edits to it will get removed if the file is opened in a newer version of Excel. Learn more: https://go.microsoft.com/fwlink/?linkid=870924
Comment:
    Dodatkowy login Grzegorz Grądkowski 159-49(darmowe konto managera przy wdrożeniu)=110</t>
      </text>
    </comment>
    <comment ref="AE6" authorId="2" shapeId="0" xr:uid="{9729F480-0CE0-9648-848E-19559888B308}">
      <text>
        <t>[Threaded comment]
Your version of Excel allows you to read this threaded comment; however, any edits to it will get removed if the file is opened in a newer version of Excel. Learn more: https://go.microsoft.com/fwlink/?linkid=870924
Comment:
    ZAM-322</t>
      </text>
    </comment>
    <comment ref="AF6" authorId="3" shapeId="0" xr:uid="{F940E794-DB9A-9443-989A-B71BD4CF6F68}">
      <text>
        <t>[Threaded comment]
Your version of Excel allows you to read this threaded comment; however, any edits to it will get removed if the file is opened in a newer version of Excel. Learn more: https://go.microsoft.com/fwlink/?linkid=870924
Comment:
    ZAM-322</t>
      </text>
    </comment>
    <comment ref="AR6" authorId="4" shapeId="0" xr:uid="{1B9A2DCC-988A-D643-881A-75CD978992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Zmiana abonamentu i płatność z góry od 01.03 </t>
      </text>
    </comment>
    <comment ref="AA7" authorId="5" shapeId="0" xr:uid="{A1A331F3-1529-B74B-A5B7-3F0BAF8E97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ZAM-233 dodatkowy login od 23.10
</t>
      </text>
    </comment>
    <comment ref="AB7" authorId="6" shapeId="0" xr:uid="{00DAB187-1561-3545-BC2F-88945DAE9097}">
      <text>
        <t>[Threaded comment]
Your version of Excel allows you to read this threaded comment; however, any edits to it will get removed if the file is opened in a newer version of Excel. Learn more: https://go.microsoft.com/fwlink/?linkid=870924
Comment:
    ZAM-259 dodatkowe 3 loginy</t>
      </text>
    </comment>
    <comment ref="AC7" authorId="7" shapeId="0" xr:uid="{6B9598A3-D514-574D-86C2-2C1D914C1866}">
      <text>
        <t>[Threaded comment]
Your version of Excel allows you to read this threaded comment; however, any edits to it will get removed if the file is opened in a newer version of Excel. Learn more: https://go.microsoft.com/fwlink/?linkid=870924
Comment:
    ZAM-270 DODATKOWY LOGIN OD 1.12
Reply:
    ZAM-285 Dodatkowy login od 5.12</t>
      </text>
    </comment>
    <comment ref="AD7" authorId="8" shapeId="0" xr:uid="{3731BD4E-0E65-CE4D-BC3A-F49846A327CB}">
      <text>
        <t>[Threaded comment]
Your version of Excel allows you to read this threaded comment; however, any edits to it will get removed if the file is opened in a newer version of Excel. Learn more: https://go.microsoft.com/fwlink/?linkid=870924
Comment:
    ZAM-270 DODATKOWY LOGIN OD 1.12
Reply:
    ZAM-285 Dodatkowy login od 5.12</t>
      </text>
    </comment>
    <comment ref="AE7" authorId="9" shapeId="0" xr:uid="{403E9149-8469-F04A-B82D-907C78902F25}">
      <text>
        <t>[Threaded comment]
Your version of Excel allows you to read this threaded comment; however, any edits to it will get removed if the file is opened in a newer version of Excel. Learn more: https://go.microsoft.com/fwlink/?linkid=870924
Comment:
    Dodać nowe funkcjonalności</t>
      </text>
    </comment>
    <comment ref="AR7" authorId="10" shapeId="0" xr:uid="{1E487052-F29C-494D-B69B-0B440D9D5849}">
      <text>
        <t>[Threaded comment]
Your version of Excel allows you to read this threaded comment; however, any edits to it will get removed if the file is opened in a newer version of Excel. Learn more: https://go.microsoft.com/fwlink/?linkid=870924
Comment:
    Zmiana abonamentu bez aneksu - jest zgoda mailowa na podwyżkę (Iza)</t>
      </text>
    </comment>
    <comment ref="AX7" authorId="11" shapeId="0" xr:uid="{3B96EDA4-51CE-F140-9D7A-9CCC98FE751A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złożone w maju</t>
      </text>
    </comment>
    <comment ref="AX8" authorId="12" shapeId="0" xr:uid="{6E355EED-485B-6746-9259-9337B49DF5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Wypowiedzenie złożone w maju
</t>
      </text>
    </comment>
    <comment ref="T9" authorId="13" shapeId="0" xr:uid="{F4F0384E-B6FB-6046-8C18-A5CDF903B9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Rezygnacja z teledmska</t>
      </text>
    </comment>
    <comment ref="AX9" authorId="14" shapeId="0" xr:uid="{B57D9576-8743-1746-8F3A-848B798240E1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sierpień</t>
      </text>
    </comment>
    <comment ref="AR11" authorId="15" shapeId="0" xr:uid="{9C87AD74-BD10-AA4F-9C8F-84FD779C1A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Zmiana abonamentu i płatność z góry od 01.03 </t>
      </text>
    </comment>
    <comment ref="AV11" authorId="16" shapeId="0" xr:uid="{FF6C7D65-ABA8-7F4A-8F09-52678923A972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Złożone wypowiedzenie w marcu</t>
      </text>
    </comment>
    <comment ref="AB12" authorId="17" shapeId="0" xr:uid="{672494CA-2420-034E-AA0E-67185CD42C47}">
      <text>
        <t>[Threaded comment]
Your version of Excel allows you to read this threaded comment; however, any edits to it will get removed if the file is opened in a newer version of Excel. Learn more: https://go.microsoft.com/fwlink/?linkid=870924
Comment:
    733 zł przez pierwsze 6 miesięcy, potem 1098,75</t>
      </text>
    </comment>
    <comment ref="AH12" authorId="18" shapeId="0" xr:uid="{C63AB574-BA76-794C-A06B-EBC9ADD71C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Rabat przedłużony na 3 miesiące przez Daniela </t>
      </text>
    </comment>
    <comment ref="AK12" authorId="19" shapeId="0" xr:uid="{137AB182-D235-2646-A4AC-6AC531C0A749}">
      <text>
        <t>[Threaded comment]
Your version of Excel allows you to read this threaded comment; however, any edits to it will get removed if the file is opened in a newer version of Excel. Learn more: https://go.microsoft.com/fwlink/?linkid=870924
Comment:
    Kwotę 733 zostawiamy do listopada 2024</t>
      </text>
    </comment>
    <comment ref="AM12" authorId="20" shapeId="0" xr:uid="{DDA2B24B-C4A7-824E-A094-9EFDEC0A68D5}">
      <text>
        <t>[Threaded comment]
Your version of Excel allows you to read this threaded comment; however, any edits to it will get removed if the file is opened in a newer version of Excel. Learn more: https://go.microsoft.com/fwlink/?linkid=870924
Comment:
    Uwaga, rozliczyć nadpłatę!</t>
      </text>
    </comment>
    <comment ref="AO12" authorId="21" shapeId="0" xr:uid="{99E64F12-3AA4-C144-8210-97D8CFF4F7A8}">
      <text>
        <t>[Threaded comment]
Your version of Excel allows you to read this threaded comment; however, any edits to it will get removed if the file is opened in a newer version of Excel. Learn more: https://go.microsoft.com/fwlink/?linkid=870924
Comment:
    Od grudnia 1098,75</t>
      </text>
    </comment>
    <comment ref="AT13" authorId="22" shapeId="0" xr:uid="{98A5AE0C-6E1D-434C-B5F3-BA2F595E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Klient zrezygnował, jednak za maj jeszcze ¼ abonamentu  - info od K. Ponikły mail z 14.05.2025</t>
      </text>
    </comment>
    <comment ref="AU13" authorId="23" shapeId="0" xr:uid="{CCAC9F4E-3F57-9E49-A691-01100313DC2C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weryfikacji
Reply:
    Ostatnia fv 30.04</t>
      </text>
    </comment>
    <comment ref="R14" authorId="24" shapeId="0" xr:uid="{2B716A2B-8BB4-4246-B4D7-16777F9684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nowy user od 5.12.2022</t>
      </text>
    </comment>
    <comment ref="AU14" authorId="25" shapeId="0" xr:uid="{50E32657-8226-3744-A06C-48662A2739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Wypowiedzenie złożone 12.02
</t>
      </text>
    </comment>
    <comment ref="AR16" authorId="26" shapeId="0" xr:uid="{CFA90144-0503-9A47-8C86-84757C3094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Zmiana abonamentu i płatność z góry od 01.03 </t>
      </text>
    </comment>
    <comment ref="AU16" authorId="27" shapeId="0" xr:uid="{E51B30FA-B01E-D245-8B9C-2A3EBB1AE1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Wypowiedzenie złożone 21.02.2025
</t>
      </text>
    </comment>
    <comment ref="AU17" authorId="28" shapeId="0" xr:uid="{CF6BAF3E-0964-6349-ACD5-8BEE9A235C1A}">
      <text>
        <t>[Threaded comment]
Your version of Excel allows you to read this threaded comment; however, any edits to it will get removed if the file is opened in a newer version of Excel. Learn more: https://go.microsoft.com/fwlink/?linkid=870924
Comment:
    Klient złożył wypowiedzenie w lutym, ostatnia fv w maju</t>
      </text>
    </comment>
    <comment ref="AT18" authorId="29" shapeId="0" xr:uid="{040E916C-DC1A-B349-93F3-93FB32A059CB}">
      <text>
        <t>[Threaded comment]
Your version of Excel allows you to read this threaded comment; however, any edits to it will get removed if the file is opened in a newer version of Excel. Learn more: https://go.microsoft.com/fwlink/?linkid=870924
Comment:
    Abonament naliczany od 7 msc
Reply:
    Klient zrezygnował</t>
      </text>
    </comment>
    <comment ref="O19" authorId="30" shapeId="0" xr:uid="{6B098231-C573-034C-BF0C-6C95B486C7A4}">
      <text>
        <t>[Threaded comment]
Your version of Excel allows you to read this threaded comment; however, any edits to it will get removed if the file is opened in a newer version of Excel. Learn more: https://go.microsoft.com/fwlink/?linkid=870924
Comment:
    +500 zł poradnia dla dorosłych</t>
      </text>
    </comment>
    <comment ref="AT20" authorId="31" shapeId="0" xr:uid="{8EA5C376-3850-6F41-B594-7F211959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- Ostatnia fv w kwietniu</t>
      </text>
    </comment>
    <comment ref="AJ22" authorId="32" shapeId="0" xr:uid="{9FAD4E5A-173C-674F-9116-352F307E3EDB}">
      <text>
        <t>[Threaded comment]
Your version of Excel allows you to read this threaded comment; however, any edits to it will get removed if the file is opened in a newer version of Excel. Learn more: https://go.microsoft.com/fwlink/?linkid=870924
Comment:
    ANEKS zmiana stawki na 1100 i fakturowanie na początku msc (z góry)</t>
      </text>
    </comment>
    <comment ref="AS23" authorId="33" shapeId="0" xr:uid="{F7A67D6F-3E17-2B41-B96A-DFB393CB1A96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- Ostatnia fv w marcu</t>
      </text>
    </comment>
    <comment ref="L24" authorId="34" shapeId="0" xr:uid="{484F3C6B-0007-E14E-9CD8-14B721A3A0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przez 12 miesięcy, potem 908 zł</t>
      </text>
    </comment>
    <comment ref="AS25" authorId="35" shapeId="0" xr:uid="{61800963-23DD-B845-AD6F-FABA70EA0D7B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marcu</t>
      </text>
    </comment>
    <comment ref="AI26" authorId="36" shapeId="0" xr:uid="{806D44E5-F3BD-F44E-B4E7-37D28591E9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Dodatkowy Login Zgodnie z aneksem od Gosi z 11.06
</t>
      </text>
    </comment>
    <comment ref="AL26" authorId="37" shapeId="0" xr:uid="{960C5F71-4619-CC4D-B4CF-E08D458528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Dodatkowe konto, zgłoszenie od K. Ponikły mailowo 24.09
</t>
      </text>
    </comment>
    <comment ref="AP26" authorId="38" shapeId="0" xr:uid="{D87C20BD-010F-BE44-8DFB-E1F4809341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Zgłoszenie Karoliny Ponikły (mail z 29.01)
Reply:
    Drugie konto : ZAM-557
</t>
      </text>
    </comment>
    <comment ref="AQ26" authorId="39" shapeId="0" xr:uid="{998D3F06-C955-5B4B-9696-EEA66DB79D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Zgłoszenie Karoliny Ponikły (mail z 29.01)
Reply:
    Drugie konto : ZAM-557
</t>
      </text>
    </comment>
    <comment ref="AS26" authorId="40" shapeId="0" xr:uid="{4A584B6C-E9C0-3746-8D04-47BADC60DA8E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marcu</t>
      </text>
    </comment>
    <comment ref="F27" authorId="41" shapeId="0" xr:uid="{A7783CBF-52E7-0C40-A9B0-FF176283A532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platnosc z gory za 12 miesiecy</t>
      </text>
    </comment>
    <comment ref="AS27" authorId="42" shapeId="0" xr:uid="{D786F6A3-3E6C-6C4D-B42B-BB4A73EACD3B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z dnia 21.02.2025</t>
      </text>
    </comment>
    <comment ref="N28" authorId="43" shapeId="0" xr:uid="{FBBE20D8-5240-6D4F-ADB7-9217578D3602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Wystawic wdrożenie po 6 miesiącach</t>
      </text>
    </comment>
    <comment ref="AS28" authorId="44" shapeId="0" xr:uid="{A8E89848-92C8-5A4E-ABAD-43A0151D123F}">
      <text>
        <t>[Threaded comment]
Your version of Excel allows you to read this threaded comment; however, any edits to it will get removed if the file is opened in a newer version of Excel. Learn more: https://go.microsoft.com/fwlink/?linkid=870924
Comment:
    Klient złożył wypowiedzenie, ostatnia fv w marcu</t>
      </text>
    </comment>
    <comment ref="AS30" authorId="45" shapeId="0" xr:uid="{4143031E-5475-1849-B21D-1EC62555F756}">
      <text>
        <t>[Threaded comment]
Your version of Excel allows you to read this threaded comment; however, any edits to it will get removed if the file is opened in a newer version of Excel. Learn more: https://go.microsoft.com/fwlink/?linkid=870924
Comment:
    Klient złożył wypowiedzenie w lutym, do weryfikacji</t>
      </text>
    </comment>
    <comment ref="AQ31" authorId="46" shapeId="0" xr:uid="{83402CE8-D3D1-C74E-8D99-03C820EC601F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lutym, wypowiedzenie z 31.01.2025</t>
      </text>
    </comment>
    <comment ref="AR32" authorId="47" shapeId="0" xr:uid="{1BB510ED-69D3-714C-B509-A5EE487A21E4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złożone w 10.2024
Reply:
    Złożone ponownie w listopadzie</t>
      </text>
    </comment>
    <comment ref="I33" authorId="48" shapeId="0" xr:uid="{C15ADBF5-6CD3-6B4E-AE11-DA237795DC9F}">
      <text>
        <t>[Threaded comment]
Your version of Excel allows you to read this threaded comment; however, any edits to it will get removed if the file is opened in a newer version of Excel. Learn more: https://go.microsoft.com/fwlink/?linkid=870924
Comment:
    Karolina Hyza, 31.03.2022 jedno dodatkowe konto 159 zl</t>
      </text>
    </comment>
    <comment ref="Q33" authorId="49" shapeId="0" xr:uid="{AAA29239-F144-744E-90E7-4C9ACCA8F1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nowy user od 29.11.2022
Reply:
    Zniżka -10% ze wzgldu na awarie</t>
      </text>
    </comment>
    <comment ref="AR33" authorId="50" shapeId="0" xr:uid="{BDA0E555-4D9E-A249-9B8C-8FF9DEA14B6B}">
      <text>
        <t>[Threaded comment]
Your version of Excel allows you to read this threaded comment; however, any edits to it will get removed if the file is opened in a newer version of Excel. Learn more: https://go.microsoft.com/fwlink/?linkid=870924
Comment:
    Klient złożył wypowiedzenie w listopadzie, ostatnia fv w lutym</t>
      </text>
    </comment>
    <comment ref="AP34" authorId="51" shapeId="0" xr:uid="{5C4BC434-42B6-CF44-A57B-A6650BB89380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styczniu</t>
      </text>
    </comment>
    <comment ref="AM35" authorId="52" shapeId="0" xr:uid="{48DAD31E-4379-BE49-AE72-11703897E6B0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w lipcu, ostatnia fv 10.2024 - weryfikować u Izy
Reply:
    Aktualizacja - klient zostaje</t>
      </text>
    </comment>
    <comment ref="K36" authorId="53" shapeId="0" xr:uid="{B52E7A38-6C2E-F941-941D-5947755406FB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Wystawiamy w fakturach za telco</t>
      </text>
    </comment>
    <comment ref="AJ37" authorId="54" shapeId="0" xr:uid="{63A2B638-257D-5748-904E-7EC66DA9A4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Faktura na Scanmed
</t>
      </text>
    </comment>
    <comment ref="AO37" authorId="55" shapeId="0" xr:uid="{1047ED95-7B9D-3B4B-B1A5-77D5EB73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grudzień</t>
      </text>
    </comment>
    <comment ref="AP38" authorId="56" shapeId="0" xr:uid="{A7DB625A-833C-3043-86F3-7A50CF6E69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ostania fv w grudniu
</t>
      </text>
    </comment>
    <comment ref="F39" authorId="57" shapeId="0" xr:uid="{52620AB8-E9A1-7944-A198-021FC8C09D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nowe dane: OPTOVET sp. z o. o., ul. Poprzeczna 72, 51-167 Wrocław, NIP 8952237825</t>
      </text>
    </comment>
    <comment ref="AP39" authorId="58" shapeId="0" xr:uid="{392960D7-E0C8-0645-8054-650B4E1D48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ostatnia fv w grudniu, klient złożył wypowiedzenie </t>
      </text>
    </comment>
    <comment ref="AH40" authorId="59" shapeId="0" xr:uid="{3D12B392-90AD-6146-9194-17C42FD85DB7}">
      <text>
        <t>[Threaded comment]
Your version of Excel allows you to read this threaded comment; however, any edits to it will get removed if the file is opened in a newer version of Excel. Learn more: https://go.microsoft.com/fwlink/?linkid=870924
Comment:
    Obniżka abonamentu na 6 miesięcy - 452,20 zł, zgodnie z aneksem</t>
      </text>
    </comment>
    <comment ref="AN40" authorId="60" shapeId="0" xr:uid="{7303FFC4-EC42-774C-8A1D-3CBD885A5AA9}">
      <text>
        <t>[Threaded comment]
Your version of Excel allows you to read this threaded comment; however, any edits to it will get removed if the file is opened in a newer version of Excel. Learn more: https://go.microsoft.com/fwlink/?linkid=870924
Comment:
    Zgodnie z Aneksem od 01.11 powrót do pełnego abonamentu</t>
      </text>
    </comment>
    <comment ref="AP40" authorId="61" shapeId="0" xr:uid="{0844AD5A-7A33-7A4A-90C0-3FEE0824DDCC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Ostania fv w grudniu</t>
      </text>
    </comment>
    <comment ref="L41" authorId="62" shapeId="0" xr:uid="{39C754CE-5EC1-C74D-97A7-277F71A682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dodac do automatycznych</t>
      </text>
    </comment>
    <comment ref="AL41" authorId="63" shapeId="0" xr:uid="{C311766F-32F9-8742-A065-4ECB2935B5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Przez 3 msc 99 zł</t>
      </text>
    </comment>
    <comment ref="AO41" authorId="64" shapeId="0" xr:uid="{D02CE754-F3BA-C342-A380-B9808E8774C9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26.08 - weryfikacja u Izy
Reply:
    Ostania fv w listopadzie</t>
      </text>
    </comment>
    <comment ref="AM43" authorId="65" shapeId="0" xr:uid="{59191915-0BE9-D24E-A3C4-4B2B6670C3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Ostatnia fv w październiku
</t>
      </text>
    </comment>
    <comment ref="AE45" authorId="66" shapeId="0" xr:uid="{2B03D74E-AA2F-DC49-AD0D-58AEBF9DED45}">
      <text>
        <t>[Threaded comment]
Your version of Excel allows you to read this threaded comment; however, any edits to it will get removed if the file is opened in a newer version of Excel. Learn more: https://go.microsoft.com/fwlink/?linkid=870924
Comment:
    Faktura już opłacona, rozliczyć nadpłatę</t>
      </text>
    </comment>
    <comment ref="AM45" authorId="67" shapeId="0" xr:uid="{81387DB3-5F8D-3B40-B7AE-7FD8BBDD8B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Rozliczyć nadpłatę
</t>
      </text>
    </comment>
    <comment ref="AN45" authorId="68" shapeId="0" xr:uid="{6FDBC147-A34C-894B-9637-9902BF93B7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Złożyli wypowiedzenie w lipcu - do weryfikacji u Izy
</t>
      </text>
    </comment>
    <comment ref="AL47" authorId="69" shapeId="0" xr:uid="{88C6FDC2-6406-8143-9A68-5A219A8CD8F4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w maju</t>
      </text>
    </comment>
    <comment ref="AL48" authorId="70" shapeId="0" xr:uid="{A9FE6305-ECE6-E44F-9E8F-02789E3C6B95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w maju</t>
      </text>
    </comment>
    <comment ref="AL49" authorId="71" shapeId="0" xr:uid="{BE3F17D9-B9C2-3041-81C0-414538B41877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w maju</t>
      </text>
    </comment>
    <comment ref="AL50" authorId="72" shapeId="0" xr:uid="{D421EC11-75A0-8840-BEAE-563800081D70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w maju</t>
      </text>
    </comment>
    <comment ref="AL51" authorId="73" shapeId="0" xr:uid="{187597D3-4BB2-5445-ACD2-8ACC61701C89}">
      <text>
        <t>[Threaded comment]
Your version of Excel allows you to read this threaded comment; however, any edits to it will get removed if the file is opened in a newer version of Excel. Learn more: https://go.microsoft.com/fwlink/?linkid=870924
Comment:
    Złożyli wypowiedzenie w maju</t>
      </text>
    </comment>
    <comment ref="AJ54" authorId="74" shapeId="0" xr:uid="{A1B84BE4-CD4C-534B-BAF0-5301680347BB}">
      <text>
        <t>[Threaded comment]
Your version of Excel allows you to read this threaded comment; however, any edits to it will get removed if the file is opened in a newer version of Excel. Learn more: https://go.microsoft.com/fwlink/?linkid=870924
Comment:
    W maju złożyli wypowiedzenie - weryfikacja</t>
      </text>
    </comment>
    <comment ref="H56" authorId="75" shapeId="0" xr:uid="{3734F4B4-A634-BE4B-9081-C277E6A55F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Cześć, 
Stomatologia Sypień zwiększyła liczbę użytkowników Aplikacji o jedno dodatkowe konto. 
Bardzo proszę o uwzględnienie dodatkowej opłaty w miesięcznym abonamencie - 159 zł netto/miesiąc. 
Dziękuję i miłego dnia!
Karolina Ponikły
</t>
      </text>
    </comment>
    <comment ref="L58" authorId="76" shapeId="0" xr:uid="{856B3EC7-A9CF-E348-843F-BCDC50474B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przez pierwsze 24 miesiące z upustem: 1093,20 zł netto
po 24 miesiącach kwota docelowa: 1261,80 zł netto</t>
      </text>
    </comment>
    <comment ref="R58" authorId="77" shapeId="0" xr:uid="{A414CB48-C33B-144B-8C36-4FF4FDC6BF26}">
      <text>
        <t>[Threaded comment]
Your version of Excel allows you to read this threaded comment; however, any edits to it will get removed if the file is opened in a newer version of Excel. Learn more: https://go.microsoft.com/fwlink/?linkid=870924
Comment:
    Wyjaśniana była awaria, nie nasza wina więc dalej wystawiamy</t>
      </text>
    </comment>
    <comment ref="AH59" authorId="78" shapeId="0" xr:uid="{965BC709-43B1-494B-B6E8-34051C0D3456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maju, wypowiedzenie</t>
      </text>
    </comment>
    <comment ref="AH60" authorId="79" shapeId="0" xr:uid="{5215DFF4-A230-F94D-BCE8-CF48CF049F84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- ostatnia fv w kwetniu</t>
      </text>
    </comment>
    <comment ref="AG61" authorId="80" shapeId="0" xr:uid="{A49731F1-3A6F-934A-A8AA-A59E56A4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kwietniu, złożyli wypowiedzenie</t>
      </text>
    </comment>
    <comment ref="AH61" authorId="81" shapeId="0" xr:uid="{B499EF35-96DB-3E42-B0C9-120B6CE72193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- ostatnia fv w kwetniu</t>
      </text>
    </comment>
    <comment ref="H62" authorId="82" shapeId="0" xr:uid="{8DABC58E-8E99-394D-B566-A10937C0BF0D}">
      <text>
        <t>[Threaded comment]
Your version of Excel allows you to read this threaded comment; however, any edits to it will get removed if the file is opened in a newer version of Excel. Learn more: https://go.microsoft.com/fwlink/?linkid=870924
Comment:
    Od: Aleksandra Dziekańska &lt;aleksandra.dziekanska@medidesk.com&gt;
Wysłane: poniedziałek, 14 lutego 2022 14:49
Do: Gabriela Lemauviel &lt;gabriela.lemauviel@medidesk.com&gt;; Katarzyna Jaryczewska &lt;katarzyna.jaryczewska@medidesk.com&gt;
DW: Administration &lt;administration@medidesk.com&gt;
Temat: Max Hemp: - nowe konto
Cześć, 
Placówka Max Hemp zdecydowała się na nowe konto do logowania dla rejestratorki, w związku z tym prośba o dodanie 159zł netto/ miesiąc do faktury.
Dziękuję 🙂 </t>
      </text>
    </comment>
    <comment ref="AB63" authorId="83" shapeId="0" xr:uid="{3EE3E03B-6FFF-B443-9E8D-BB388588653D}">
      <text>
        <t>[Threaded comment]
Your version of Excel allows you to read this threaded comment; however, any edits to it will get removed if the file is opened in a newer version of Excel. Learn more: https://go.microsoft.com/fwlink/?linkid=870924
Comment:
    ZAM-237 dodatkowe dwa konta</t>
      </text>
    </comment>
    <comment ref="AD63" authorId="84" shapeId="0" xr:uid="{71FBDF2C-27EA-4749-81EB-11EAC442C013}">
      <text>
        <t>[Threaded comment]
Your version of Excel allows you to read this threaded comment; however, any edits to it will get removed if the file is opened in a newer version of Excel. Learn more: https://go.microsoft.com/fwlink/?linkid=870924
Comment:
    Od stycznia normalnie 716,45</t>
      </text>
    </comment>
    <comment ref="AF63" authorId="85" shapeId="0" xr:uid="{46B91D4D-3E46-2246-A027-06D72CEEF9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Ostatnia fv w marcu, wypowiedzenie </t>
      </text>
    </comment>
    <comment ref="AA64" authorId="86" shapeId="0" xr:uid="{F2620687-6212-874E-BEA6-4036A5BC962B}">
      <text>
        <t>[Threaded comment]
Your version of Excel allows you to read this threaded comment; however, any edits to it will get removed if the file is opened in a newer version of Excel. Learn more: https://go.microsoft.com/fwlink/?linkid=870924
Comment:
    +1517,5 za 3 rate wdrożenia</t>
      </text>
    </comment>
    <comment ref="AG65" authorId="87" shapeId="0" xr:uid="{24F7F2D3-2F95-1044-A813-C013A6C187F1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- ostatnia fv w marcu</t>
      </text>
    </comment>
    <comment ref="AF66" authorId="88" shapeId="0" xr:uid="{19355406-4DFE-8140-9AC1-515FFE3BC0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Ostania fv w marcu. Złożyli wypowiedzenie (Do weryfikacji u Izy)
</t>
      </text>
    </comment>
    <comment ref="AE67" authorId="89" shapeId="0" xr:uid="{4EE55947-7ECF-E743-8820-5E8F351D7A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dodane do wizyt domowych - nie rozdzielamy </t>
      </text>
    </comment>
    <comment ref="V68" authorId="90" shapeId="0" xr:uid="{86B4C4E1-C3A4-2C48-97C3-A91B96234334}">
      <text>
        <t>[Threaded comment]
Your version of Excel allows you to read this threaded comment; however, any edits to it will get removed if the file is opened in a newer version of Excel. Learn more: https://go.microsoft.com/fwlink/?linkid=870924
Comment:
    Upsell o jedno konto Białystok</t>
      </text>
    </comment>
    <comment ref="AE68" authorId="91" shapeId="0" xr:uid="{26F51806-E4C7-6845-A91C-A7708EC70809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Ostania fv w lutym - złożyli wypowiedzenie</t>
      </text>
    </comment>
    <comment ref="AD69" authorId="92" shapeId="0" xr:uid="{3A3A3371-AFDE-ED41-AD73-FA395F01429F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Ostania fv w styczniu, wypowiedzieli umowę</t>
      </text>
    </comment>
    <comment ref="AD71" authorId="93" shapeId="0" xr:uid="{25405691-3C0D-A149-BC62-4E6F2FC2D586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Wypowiedzieli umowę, ostatnia fv 31/01</t>
      </text>
    </comment>
    <comment ref="AC74" authorId="94" shapeId="0" xr:uid="{4AD4EAD7-87D1-9A42-BC37-3D47623C6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Ostania fv w 11.2023
</t>
      </text>
    </comment>
    <comment ref="AC75" authorId="95" shapeId="0" xr:uid="{3BE5F3E3-B17A-F44F-A0E2-0B6CBE1B2316}">
      <text>
        <t>[Threaded comment]
Your version of Excel allows you to read this threaded comment; however, any edits to it will get removed if the file is opened in a newer version of Excel. Learn more: https://go.microsoft.com/fwlink/?linkid=870924
Comment:
    Fakturowanie CDT Medicus Lublin</t>
      </text>
    </comment>
    <comment ref="AC77" authorId="96" shapeId="0" xr:uid="{9160FBFB-BFCE-5B4D-986D-617B7882A623}">
      <text>
        <t>[Threaded comment]
Your version of Excel allows you to read this threaded comment; however, any edits to it will get removed if the file is opened in a newer version of Excel. Learn more: https://go.microsoft.com/fwlink/?linkid=870924
Comment:
    Ostatnia fv w listopadzie</t>
      </text>
    </comment>
    <comment ref="H80" authorId="97" shapeId="0" xr:uid="{582B7D48-72D7-3C4B-BF94-5B4EB6D96064}">
      <text>
        <t>[Threaded comment]
Your version of Excel allows you to read this threaded comment; however, any edits to it will get removed if the file is opened in a newer version of Excel. Learn more: https://go.microsoft.com/fwlink/?linkid=870924
Comment:
    znizka ustalona z iza</t>
      </text>
    </comment>
    <comment ref="J80" authorId="98" shapeId="0" xr:uid="{129CEA71-5B2D-FF44-A3BE-31EBF0AC3A8E}">
      <text>
        <t>[Threaded comment]
Your version of Excel allows you to read this threaded comment; however, any edits to it will get removed if the file is opened in a newer version of Excel. Learn more: https://go.microsoft.com/fwlink/?linkid=870924
Comment:
    ustalone z iza</t>
      </text>
    </comment>
    <comment ref="X85" authorId="99" shapeId="0" xr:uid="{DF82E842-B71D-BD40-9ABD-5E06DFBE2ADD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Y85" authorId="100" shapeId="0" xr:uid="{B6F8CAE1-D3C8-EB42-837A-83C5A651D4FB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X86" authorId="101" shapeId="0" xr:uid="{00837897-B3A7-0442-AF65-17FB2DEA1EDA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Y86" authorId="102" shapeId="0" xr:uid="{5DEBDBA9-7BEA-C246-86F9-DEA3974B32ED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X87" authorId="103" shapeId="0" xr:uid="{91E2DFA9-1ACB-E744-B0FF-97576CDD304B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Y87" authorId="104" shapeId="0" xr:uid="{A007D6E8-62F3-CB4E-9754-4286F7C720F0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X88" authorId="105" shapeId="0" xr:uid="{932DB7E0-C45A-3547-A6D5-F8758FBEBDBC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Y88" authorId="106" shapeId="0" xr:uid="{2066925B-2781-9E4C-9637-5851688688E3}">
      <text>
        <t>[Threaded comment]
Your version of Excel allows you to read this threaded comment; however, any edits to it will get removed if the file is opened in a newer version of Excel. Learn more: https://go.microsoft.com/fwlink/?linkid=870924
Comment:
    Wypowiedzenie umowy, ostania fv we wrześniu</t>
      </text>
    </comment>
    <comment ref="R89" authorId="107" shapeId="0" xr:uid="{AC804A90-6214-894A-83CD-80C39B8216CC}">
      <text>
        <t>[Threaded comment]
Your version of Excel allows you to read this threaded comment; however, any edits to it will get removed if the file is opened in a newer version of Excel. Learn more: https://go.microsoft.com/fwlink/?linkid=870924
Comment:
    OD 01.01.23 CESJA - ZMIANA NA BELGRAVIA NIP: 9592055978</t>
      </text>
    </comment>
    <comment ref="AA89" authorId="108" shapeId="0" xr:uid="{8BAB7649-82BA-684A-A8B6-34680C29A1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Koniec umowy we wrześniu
</t>
      </text>
    </comment>
    <comment ref="K90" authorId="109" shapeId="0" xr:uid="{0C5CAC90-3D2E-CD40-A4E5-853B78BA6C05}">
      <text>
        <t>[Threaded comment]
Your version of Excel allows you to read this threaded comment; however, any edits to it will get removed if the file is opened in a newer version of Excel. Learn more: https://go.microsoft.com/fwlink/?linkid=870924
Comment:
    po 6 miesiacach 1000 netto</t>
      </text>
    </comment>
    <comment ref="F91" authorId="110" shapeId="0" xr:uid="{1141D4FD-E160-3647-9A4B-FCCA1E473411}">
      <text>
        <t>[Threaded comment]
Your version of Excel allows you to read this threaded comment; however, any edits to it will get removed if the file is opened in a newer version of Excel. Learn more: https://go.microsoft.com/fwlink/?linkid=870924
Comment:
    znizka od izy</t>
      </text>
    </comment>
    <comment ref="T92" authorId="111" shapeId="0" xr:uid="{8A0F19B4-1422-E549-80C8-B4AF35B7D752}">
      <text>
        <t>[Threaded comment]
Your version of Excel allows you to read this threaded comment; however, any edits to it will get removed if the file is opened in a newer version of Excel. Learn more: https://go.microsoft.com/fwlink/?linkid=870924
Comment:
    Zniżka -20% awaria połączeń</t>
      </text>
    </comment>
    <comment ref="J96" authorId="112" shapeId="0" xr:uid="{3DF3CA6D-C7D5-894B-B4D4-29075EEF3B04}">
      <text>
        <t>[Threaded comment]
Your version of Excel allows you to read this threaded comment; however, any edits to it will get removed if the file is opened in a newer version of Excel. Learn more: https://go.microsoft.com/fwlink/?linkid=870924
Comment:
    dodatkowe konto Karolina Ponikły</t>
      </text>
    </comment>
    <comment ref="J99" authorId="113" shapeId="0" xr:uid="{10C748B1-0A44-2040-8BDA-E9940DA24FD9}">
      <text>
        <t>[Threaded comment]
Your version of Excel allows you to read this threaded comment; however, any edits to it will get removed if the file is opened in a newer version of Excel. Learn more: https://go.microsoft.com/fwlink/?linkid=870924
Comment:
    dodatkowe konto Karolina Ponikly 23.05.2022</t>
      </text>
    </comment>
    <comment ref="Q105" authorId="114" shapeId="0" xr:uid="{B26B02A6-6A24-CA43-8737-40C4A3249989}">
      <text>
        <t>[Threaded comment]
Your version of Excel allows you to read this threaded comment; however, any edits to it will get removed if the file is opened in a newer version of Excel. Learn more: https://go.microsoft.com/fwlink/?linkid=870924
Comment:
    zniżka ze względu na awarie</t>
      </text>
    </comment>
    <comment ref="T106" authorId="115" shapeId="0" xr:uid="{DD661895-FBE8-1D44-9AD0-53BEDD54C1C3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Wystawiamy 100 zł do końca maja, potem normalnie 1000</t>
      </text>
    </comment>
    <comment ref="U106" authorId="116" shapeId="0" xr:uid="{C1E3BFAD-7B50-DE49-B8B5-B6C934707537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Wystawiamy 100 zł do końca maja, potem normalnie 1000</t>
      </text>
    </comment>
    <comment ref="V106" authorId="117" shapeId="0" xr:uid="{0E17754A-6F32-3E40-A67F-AE1940EFDEA3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Wystawiamy 100 zł do końca maja, potem normalnie 1000</t>
      </text>
    </comment>
    <comment ref="V107" authorId="118" shapeId="0" xr:uid="{0E7EA3D2-5947-1D45-8F29-5F5E11997FC6}">
      <text>
        <t>[Threaded comment]
Your version of Excel allows you to read this threaded comment; however, any edits to it will get removed if the file is opened in a newer version of Excel. Learn more: https://go.microsoft.com/fwlink/?linkid=870924
Comment:
    Uważać bo w automatycznych jest przesunięta data omyłkowo
Reply:
    Zmiana na VoIP</t>
      </text>
    </comment>
    <comment ref="I110" authorId="119" shapeId="0" xr:uid="{12C09628-8D8F-0144-B508-857DB170FCF8}">
      <text>
        <t>[Threaded comment]
Your version of Excel allows you to read this threaded comment; however, any edits to it will get removed if the file is opened in a newer version of Excel. Learn more: https://go.microsoft.com/fwlink/?linkid=870924
Comment:
    ustalone z izą</t>
      </text>
    </comment>
    <comment ref="L112" authorId="120" shapeId="0" xr:uid="{F67123A5-8D69-3948-9B30-9F56547E49A6}">
      <text>
        <t>[Threaded comment]
Your version of Excel allows you to read this threaded comment; however, any edits to it will get removed if the file is opened in a newer version of Excel. Learn more: https://go.microsoft.com/fwlink/?linkid=870924
Comment:
    nowe dane, mail z 8.06.2022 od a.zielonka@sanatoriummarta.pl</t>
      </text>
    </comment>
    <comment ref="L116" authorId="121" shapeId="0" xr:uid="{C2EE6D6A-527E-DD4C-A7BC-7620C92F6803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Wystawiamy w telco</t>
      </text>
    </comment>
    <comment ref="I118" authorId="122" shapeId="0" xr:uid="{D8E22521-4113-F143-A9E1-DD6CE8E59535}">
      <text>
        <t>[Threaded comment]
Your version of Excel allows you to read this threaded comment; however, any edits to it will get removed if the file is opened in a newer version of Excel. Learn more: https://go.microsoft.com/fwlink/?linkid=870924
Comment:
    obniżka na 6 miesiecy</t>
      </text>
    </comment>
    <comment ref="K118" authorId="123" shapeId="0" xr:uid="{B8719FAF-84C0-1749-A259-A23C43A9F51F}">
      <text>
        <t>[Threaded comment]
Your version of Excel allows you to read this threaded comment; however, any edits to it will get removed if the file is opened in a newer version of Excel. Learn more: https://go.microsoft.com/fwlink/?linkid=870924
Comment:
    wystawić 2 FV w wfirmie</t>
      </text>
    </comment>
    <comment ref="L123" authorId="124" shapeId="0" xr:uid="{12A10F79-E785-7C49-8CB4-457A9CA1C531}">
      <text>
        <t>[Threaded comment]
Your version of Excel allows you to read this threaded comment; however, any edits to it will get removed if the file is opened in a newer version of Excel. Learn more: https://go.microsoft.com/fwlink/?linkid=870924
Comment:
    jednorazowa znizka cyprian 15.07.2022</t>
      </text>
    </comment>
    <comment ref="F124" authorId="125" shapeId="0" xr:uid="{CC0FFC4E-408F-8A4D-82E2-24F3D14BF118}">
      <text>
        <t>[Threaded comment]
Your version of Excel allows you to read this threaded comment; however, any edits to it will get removed if the file is opened in a newer version of Excel. Learn more: https://go.microsoft.com/fwlink/?linkid=870924
Comment:
    aneks na nowa wartosc abonamentu</t>
      </text>
    </comment>
    <comment ref="K128" authorId="126" shapeId="0" xr:uid="{E909968C-0FB6-3345-B22F-6EFC0BC24A8F}">
      <text>
        <t>[Threaded comment]
Your version of Excel allows you to read this threaded comment; however, any edits to it will get removed if the file is opened in a newer version of Excel. Learn more: https://go.microsoft.com/fwlink/?linkid=870924
Comment:
    obniżenie abonamentu na 800 zł brutto do 31.12.2022</t>
      </text>
    </comment>
    <comment ref="L128" authorId="127" shapeId="0" xr:uid="{0DDC10F6-7A06-7F49-8A93-0E79F1F97870}">
      <text>
        <t>[Threaded comment]
Your version of Excel allows you to read this threaded comment; however, any edits to it will get removed if the file is opened in a newer version of Excel. Learn more: https://go.microsoft.com/fwlink/?linkid=870924
Comment:
    obniżenie abonamentu na 800 zł brutto do 31.12.2022
Reply:
    Zoabczymy na czym stanie bo mają mieć za 0 do końca pazdziernika</t>
      </text>
    </comment>
    <comment ref="F129" authorId="128" shapeId="0" xr:uid="{0E1D937A-C280-804E-B586-2A27DD4A6CF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platnosc z gory na 12 miesiecy</t>
      </text>
    </comment>
    <comment ref="P130" authorId="129" shapeId="0" xr:uid="{FA0696D1-C5D8-524A-94D6-777E098007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przejście na Voip</t>
      </text>
    </comment>
    <comment ref="F132" authorId="130" shapeId="0" xr:uid="{654D572F-B770-E14F-806D-6DC40C1B5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Nowe dane:
Specjalistyczna Poradnia Lekarska Alicja Karney Sp.zoo
ul. Rydygiera 13
01-793 Warszawa
NIP 5252817967, Regon - 385752010
KRS - 0000833290</t>
      </text>
    </comment>
    <comment ref="O132" authorId="131" shapeId="0" xr:uid="{30D2F569-2F38-8647-B3FB-497A2196A7F6}">
      <text>
        <t>[Threaded comment]
Your version of Excel allows you to read this threaded comment; however, any edits to it will get removed if the file is opened in a newer version of Excel. Learn more: https://go.microsoft.com/fwlink/?linkid=870924
Comment:
    ustalic z Izą, czy wystawiay czy wylaczamy</t>
      </text>
    </comment>
    <comment ref="J134" authorId="132" shapeId="0" xr:uid="{71018561-B42E-6D43-A59D-528E985F3063}">
      <text>
        <t>[Threaded comment]
Your version of Excel allows you to read this threaded comment; however, any edits to it will get removed if the file is opened in a newer version of Excel. Learn more: https://go.microsoft.com/fwlink/?linkid=870924
Comment:
    sprawdzic w umowie</t>
      </text>
    </comment>
    <comment ref="L137" authorId="133" shapeId="0" xr:uid="{35D78D3A-418B-5D42-BEA8-E037789A13EA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korekta na 0 zł</t>
      </text>
    </comment>
    <comment ref="M138" authorId="134" shapeId="0" xr:uid="{0B9D28E3-05D6-0A4B-A1FE-A0C2093D11A8}">
      <text>
        <t>[Threaded comment]
Your version of Excel allows you to read this threaded comment; however, any edits to it will get removed if the file is opened in a newer version of Excel. Learn more: https://go.microsoft.com/fwlink/?linkid=870924
Comment:
    Od kiedy rezygnacja?</t>
      </text>
    </comment>
    <comment ref="F139" authorId="135" shapeId="0" xr:uid="{97D3621C-28F2-2045-924D-D732475CEB04}">
      <text>
        <t>[Threaded comment]
Your version of Excel allows you to read this threaded comment; however, any edits to it will get removed if the file is opened in a newer version of Excel. Learn more: https://go.microsoft.com/fwlink/?linkid=870924
Comment:
    zgłoszenie od Piotra Palicy 29.11.2021</t>
      </text>
    </comment>
    <comment ref="G139" authorId="136" shapeId="0" xr:uid="{F1165379-6C58-394B-9A78-E2106E24C126}">
      <text>
        <t>[Threaded comment]
Your version of Excel allows you to read this threaded comment; however, any edits to it will get removed if the file is opened in a newer version of Excel. Learn more: https://go.microsoft.com/fwlink/?linkid=870924
Comment:
    zgłoszenie od Bartka zielisnkiego 8.02.2022</t>
      </text>
    </comment>
    <comment ref="F142" authorId="137" shapeId="0" xr:uid="{2A70E741-6FBE-3F4A-8F0F-F5B113D17309}">
      <text>
        <t>[Threaded comment]
Your version of Excel allows you to read this threaded comment; however, any edits to it will get removed if the file is opened in a newer version of Excel. Learn more: https://go.microsoft.com/fwlink/?linkid=870924
Comment:
    Nie wystawiac, ustalone z iza</t>
      </text>
    </comment>
    <comment ref="G142" authorId="138" shapeId="0" xr:uid="{9A2FCBCA-6F51-E14E-8394-35FBA7933A15}">
      <text>
        <t>[Threaded comment]
Your version of Excel allows you to read this threaded comment; however, any edits to it will get removed if the file is opened in a newer version of Excel. Learn more: https://go.microsoft.com/fwlink/?linkid=870924
Comment:
    Nie wystawiac, ustalone z iza
Reply:
    ustalone z Danielem</t>
      </text>
    </comment>
    <comment ref="F143" authorId="139" shapeId="0" xr:uid="{6C514631-4CB7-214D-B3D2-2E127550594C}">
      <text>
        <t>[Threaded comment]
Your version of Excel allows you to read this threaded comment; however, any edits to it will get removed if the file is opened in a newer version of Excel. Learn more: https://go.microsoft.com/fwlink/?linkid=870924
Comment:
    nowe dane: AM MEDIC sp. z o. o. ul. Pokrzywno 26B, 61-315 Poznań, NIP 7812018749, REGON: 388401095</t>
      </text>
    </comment>
    <comment ref="I144" authorId="140" shapeId="0" xr:uid="{81B9EF95-0151-BD47-8B11-6953C38C26BB}">
      <text>
        <t>[Threaded comment]
Your version of Excel allows you to read this threaded comment; however, any edits to it will get removed if the file is opened in a newer version of Excel. Learn more: https://go.microsoft.com/fwlink/?linkid=870924
Comment:
    ustalone z iza</t>
      </text>
    </comment>
    <comment ref="H145" authorId="141" shapeId="0" xr:uid="{CC2CB505-8AB0-1C42-B445-E8726EC69452}">
      <text>
        <t>[Threaded comment]
Your version of Excel allows you to read this threaded comment; however, any edits to it will get removed if the file is opened in a newer version of Excel. Learn more: https://go.microsoft.com/fwlink/?linkid=870924
Comment:
    znizka 100%</t>
      </text>
    </comment>
    <comment ref="I145" authorId="142" shapeId="0" xr:uid="{07C077E3-FB33-2C47-911D-95579C8FD568}">
      <text>
        <t>[Threaded comment]
Your version of Excel allows you to read this threaded comment; however, any edits to it will get removed if the file is opened in a newer version of Excel. Learn more: https://go.microsoft.com/fwlink/?linkid=870924
Comment:
    ustalone z iza</t>
      </text>
    </comment>
  </commentList>
</comments>
</file>

<file path=xl/sharedStrings.xml><?xml version="1.0" encoding="utf-8"?>
<sst xmlns="http://schemas.openxmlformats.org/spreadsheetml/2006/main" count="775" uniqueCount="294">
  <si>
    <t>NIP</t>
  </si>
  <si>
    <t>ID</t>
  </si>
  <si>
    <t>Przychodnia KEN (CM Woronicza)</t>
  </si>
  <si>
    <t>rezygnacja</t>
  </si>
  <si>
    <t>Poradnia Lekarska dr Alicja Karney</t>
  </si>
  <si>
    <t>PCM Optimum / Orthos</t>
  </si>
  <si>
    <t>LSSP (Lekarska Specjalistyczna Spółdzielnia Pracy)</t>
  </si>
  <si>
    <t>Centrum LA VIE</t>
  </si>
  <si>
    <t>CM DoktorA</t>
  </si>
  <si>
    <t>Prywatna Poliklinika na Grobli</t>
  </si>
  <si>
    <t>SZPITAL OKULISTYCZNY RETINA</t>
  </si>
  <si>
    <t>Voltamed</t>
  </si>
  <si>
    <t>Salveo Ustroń</t>
  </si>
  <si>
    <t>Gastromed Białystok</t>
  </si>
  <si>
    <t>AM Medic</t>
  </si>
  <si>
    <t>Gabinet Weterynaryjny Gryf</t>
  </si>
  <si>
    <t>Mental Path (dawniej Centrum Terapii i Kreatywności)</t>
  </si>
  <si>
    <t>Medinet</t>
  </si>
  <si>
    <t>NZOZ Vitamed Czerwińsk (NIP: 5671583830)</t>
  </si>
  <si>
    <t>CM Komorniki</t>
  </si>
  <si>
    <t>MedJar</t>
  </si>
  <si>
    <t>CO TAM?</t>
  </si>
  <si>
    <t>Vaxmed</t>
  </si>
  <si>
    <t>Centrum Zdrowia Na Skarpie</t>
  </si>
  <si>
    <t>Esderm</t>
  </si>
  <si>
    <t>Centrum Psychoterapii i Rozwoju Kontakt</t>
  </si>
  <si>
    <t>Centrum Terapii Synteza</t>
  </si>
  <si>
    <t>JMC Stomatologia</t>
  </si>
  <si>
    <t>Jutro Medical</t>
  </si>
  <si>
    <t>Ortovet</t>
  </si>
  <si>
    <t>Przychodnia Weterynaryjna przy Orlej</t>
  </si>
  <si>
    <t>Klinika Pięknego Uśmiechu</t>
  </si>
  <si>
    <t>MW Clinic</t>
  </si>
  <si>
    <t>NZOZ Werra</t>
  </si>
  <si>
    <t>CM Judyta (+ Teledesk)</t>
  </si>
  <si>
    <t>CMC Kraków | MK Vertigo</t>
  </si>
  <si>
    <t>Przejście na VoIP</t>
  </si>
  <si>
    <t>Na Nowo Wilanów</t>
  </si>
  <si>
    <t>FC Med (Familijne Centrum Medyczne)</t>
  </si>
  <si>
    <t>Premium Clinic Wrocław</t>
  </si>
  <si>
    <t>CM Jelonki</t>
  </si>
  <si>
    <t>Dental Salon</t>
  </si>
  <si>
    <t>Sanatorium Uzdrowiskowe Marta</t>
  </si>
  <si>
    <t>przejście na voip</t>
  </si>
  <si>
    <t>Cinismed</t>
  </si>
  <si>
    <t>NZOZ Fona-Med</t>
  </si>
  <si>
    <t>Cudmed</t>
  </si>
  <si>
    <t>Alfavet</t>
  </si>
  <si>
    <t>Przychodnia Weterynaryjna Jamniczek (MR)</t>
  </si>
  <si>
    <t>Szpital św. Wojciecha</t>
  </si>
  <si>
    <t>NZOZ Sep-Med</t>
  </si>
  <si>
    <t>Odontic Dębica</t>
  </si>
  <si>
    <t>SZPITAL PODOLANY POZNAŃ</t>
  </si>
  <si>
    <t>HMS Assistance</t>
  </si>
  <si>
    <t>5611596533 </t>
  </si>
  <si>
    <t>SmartVet (Medyczne Rewolucje)</t>
  </si>
  <si>
    <t>przejście na VoIP</t>
  </si>
  <si>
    <t>Fizjonel</t>
  </si>
  <si>
    <t>Gameta Gdynia</t>
  </si>
  <si>
    <t>M-Med</t>
  </si>
  <si>
    <t>Wrocław Medical Center</t>
  </si>
  <si>
    <t>Centrum Medycyny Konopnej</t>
  </si>
  <si>
    <t>Neuca Med Sp. z o.o.</t>
  </si>
  <si>
    <t>Warto Razem Medical Labor Securus Sp. z o. o.</t>
  </si>
  <si>
    <t>Szczepan Wiecha Sportslab</t>
  </si>
  <si>
    <t>Poradnia Stomatologiczna - Ewa Klimek</t>
  </si>
  <si>
    <t>Belgravia Medical Piotr Grabowski Spółka Komandytowa</t>
  </si>
  <si>
    <t>Niepubliczny Zakład Opieki Zdrowotnej Medicus Spółka Z Ograniczoną Odpowiedzialnością</t>
  </si>
  <si>
    <t>B-Dental Baron Spółka Jawna</t>
  </si>
  <si>
    <t>Fundacja Dla Pokoleń</t>
  </si>
  <si>
    <t>Snzoz Med Med Spółka Z Ograniczoną Odpowiedzialnością</t>
  </si>
  <si>
    <t>Medessence Olga Cytrynowicz</t>
  </si>
  <si>
    <t>Ratyński Dental Clinic Józefów Spółka Komandytowa</t>
  </si>
  <si>
    <t>Effi Clinic Spółka Z Ograniczoną Odpowiedzialnością</t>
  </si>
  <si>
    <t>Ortotop Spółka Z Ograniczoną Odpowiedzialnością</t>
  </si>
  <si>
    <t>Przychodnia Weterynaryjna Jagusz Vet Centrum Hubert Jagusz</t>
  </si>
  <si>
    <t>Arwet Rafał Korta I Wspólnicy Spółka Jawna</t>
  </si>
  <si>
    <t>Euromedica - Europejskie Centrum Medycyny Specjalistycznej Spółka Z Ograniczoną Odpowiedzialnością Spółka Komandytowa</t>
  </si>
  <si>
    <t>Katarzyna Zielińska Clinical Med</t>
  </si>
  <si>
    <t>Trójmiejska Klinika Weterynaryjna</t>
  </si>
  <si>
    <t>Trójmiejska Przychodnia Weterynaryjna Pruszcz Gdański</t>
  </si>
  <si>
    <t>neo</t>
  </si>
  <si>
    <t>Ultra Med Spółka Z Ograniczoną Odpowiedzialnością</t>
  </si>
  <si>
    <t>Centrum Rehabilitacji C.r. Modus Spółka Z Ograniczoną Odpowiedzialnością</t>
  </si>
  <si>
    <t>CR Modus</t>
  </si>
  <si>
    <t>Blueball Krzysztof Olech</t>
  </si>
  <si>
    <t>BlueBall Siemianowice Śląskie</t>
  </si>
  <si>
    <t>Centrum Rehabilitacji I Kardiologii Solutaris Prokopczuk Spółka Jawna</t>
  </si>
  <si>
    <t>CM Solutaris Kędzierzyn-Koźle</t>
  </si>
  <si>
    <t>Przychodnia Weterynaryjna - Morawscy - Dorota Morawska-Końska</t>
  </si>
  <si>
    <t>Przychodnia Weterynaryjna Morawscy</t>
  </si>
  <si>
    <t>Centrum Okulistyki Oko-Med. Spółka Z Ograniczoną Odpowiedzialnością</t>
  </si>
  <si>
    <t>Oko Med</t>
  </si>
  <si>
    <t>Interfizjo Spółka Akcyjna</t>
  </si>
  <si>
    <t>Interfizjo</t>
  </si>
  <si>
    <t>Poddębina Med W. Piekarska Spółka Komandytowa</t>
  </si>
  <si>
    <t>Dom Seniora Poddębina</t>
  </si>
  <si>
    <t>Sport Medica Spółka Akcyjna</t>
  </si>
  <si>
    <t>Sport Medica | Optimum Klinika Głowy i Szyi</t>
  </si>
  <si>
    <t>Libermedic Grabska - Liberek I. Liberek B. Spółka Jawna</t>
  </si>
  <si>
    <t>Libermedic</t>
  </si>
  <si>
    <t>Centrum Medyczne Mediraj Sp. z o. o.</t>
  </si>
  <si>
    <t>CM MediRaj</t>
  </si>
  <si>
    <t>Medtour Sp. z o. o.</t>
  </si>
  <si>
    <t>DentEstetica</t>
  </si>
  <si>
    <t>Max Hemp Spółka Z Ograniczoną Odpowiedzialnością</t>
  </si>
  <si>
    <t>Max Hemp</t>
  </si>
  <si>
    <t>La Dentica Gabinety Stomatologiczne Joanna Sobczyk</t>
  </si>
  <si>
    <t>La Dentica</t>
  </si>
  <si>
    <t>Klinika HB </t>
  </si>
  <si>
    <t>Klinika Hb Dorota Basista</t>
  </si>
  <si>
    <t>Przychodnia Weterynaryjna ”Na Polance” Katarzyna Marciniak</t>
  </si>
  <si>
    <t>Weterynaria na Polance</t>
  </si>
  <si>
    <t>Przychodnia Weterynaryjna Jarosław Garbowski VoIP</t>
  </si>
  <si>
    <t>Nowoczesne Centrum Stomatologii Sypień Spółka z ograniczoną odpowiedzialnością</t>
  </si>
  <si>
    <t>Stomatologia Sypień</t>
  </si>
  <si>
    <t>Dębowa 105 Stomatologia I Medycyna Estetyczna Spółka Z Ograniczoną Odpowiedzialnością</t>
  </si>
  <si>
    <t>Dębowa 105</t>
  </si>
  <si>
    <t>VBV Spółka Z Ograniczoną Odpowiedzialnością Spółka Komandytowa</t>
  </si>
  <si>
    <t>Medical Prestige Poznań</t>
  </si>
  <si>
    <t>Neo Dent Poznań</t>
  </si>
  <si>
    <t>Centrum Serca Lc Spółka Z Ograniczoną Odpowiedzialnością</t>
  </si>
  <si>
    <t>Centrum Serca Lumina Cordis</t>
  </si>
  <si>
    <t>Fortitudo</t>
  </si>
  <si>
    <t>przejście z voipa na medidesk</t>
  </si>
  <si>
    <t>Niepubliczny Zakład Opieki Zdrowotnej Domowa Opieka Paliatywna Dar-Med Sp. z o. o.</t>
  </si>
  <si>
    <t>Dar-Med przez pierwsze 24 miesiące z upustem: 1093,20 zł netto
po 24 miesiącach kwota docelowa: 1261,80 zł netto</t>
  </si>
  <si>
    <t>SZPZLO Warszawa Bemowo - Włochy</t>
  </si>
  <si>
    <t>Niepubliczny Zakład Opieki Zdrowotnej Ośrodek Medycyny Pracy Sp. z o. o.</t>
  </si>
  <si>
    <t>OMP Lubin Grupa Medicus (MR)</t>
  </si>
  <si>
    <t>Centrum Medyczne i Rehabilitacji Kriosonik Spółka z ograniczoną odpowiedzialnością Spółka Jawna</t>
  </si>
  <si>
    <t>Kriosonik Siedlce (upselling Wizyty Domowe)</t>
  </si>
  <si>
    <t>Mekmed II Spółka Z Ograniczoną Odpowiedzialnością Spółka Komandytowa</t>
  </si>
  <si>
    <t>Centrum Estetyki Ciała Mekmed II</t>
  </si>
  <si>
    <t>Centrum Medyczne Damiana Holding Sp. z o. o.</t>
  </si>
  <si>
    <t>Allenort - Propsyche Myśliborska 44</t>
  </si>
  <si>
    <t>Allenort - Propsyche Przasnyska 6A</t>
  </si>
  <si>
    <t>Allenort - Propsyche Sielecka 22/11</t>
  </si>
  <si>
    <t>Allenort - Psychiatra Allenort Białystok Kawaleryjska 9</t>
  </si>
  <si>
    <t>Allenort - Psychomedica Nabielaka 6/2</t>
  </si>
  <si>
    <t>Home Doctor Spółka Z Ograniczoną Odpowiedzialnością</t>
  </si>
  <si>
    <t>HomeDoctor Telemedycyna</t>
  </si>
  <si>
    <t>HomeDoctor Sp. z o.o.</t>
  </si>
  <si>
    <t>Niepubliczny Zakład Opieki Zdrowotnej Przychodnia Lekarska Neuromedyka Emilia Kotewska-Avramčeva</t>
  </si>
  <si>
    <t>NZOZ Neuromedyka</t>
  </si>
  <si>
    <t>Studio Urody Miracle Paulina Wajda</t>
  </si>
  <si>
    <t>Studio Urody Miracle</t>
  </si>
  <si>
    <t>Ars-Medica Spółka Z Ograniczoną Odpowiedzialnością</t>
  </si>
  <si>
    <t>Ars-Medica Kraków</t>
  </si>
  <si>
    <t>Rezygnacja</t>
  </si>
  <si>
    <t>Przychodnia Gro-Dent D. Kamieniarz-Orzeł, S. Orzeł Spółka Jawna</t>
  </si>
  <si>
    <t>Gro-dent Centrum Zdrowia Rodziny</t>
  </si>
  <si>
    <t>Centrum Vit Spółka Z Ograniczoną Odpowiedzialnością Spółka Komandytowa</t>
  </si>
  <si>
    <t>Klinika Witaminowa</t>
  </si>
  <si>
    <t>Olicon Spółka Z Ograniczoną Odpowiedzialnością</t>
  </si>
  <si>
    <t>Olicon | Centrum Terapii Wyspa</t>
  </si>
  <si>
    <t>reygnacja</t>
  </si>
  <si>
    <t>Pragamed Spółka Z Ograniczoną Odpowiedzialnością</t>
  </si>
  <si>
    <t>PragaMed</t>
  </si>
  <si>
    <t>Etos Centrum Edukacji I Doradztwa Służby Zdrowia Spółka Z Ograniczoną Odpowiedzialnością</t>
  </si>
  <si>
    <t>Przychodnia Etos Zdrowie</t>
  </si>
  <si>
    <t>Centrum Medyczne Multimed Spółka Z Ograniczoną Odpowiedzialnością</t>
  </si>
  <si>
    <t>Multimed Brzesko</t>
  </si>
  <si>
    <t>Vital Medic Sp. z o. o. W Upadłości</t>
  </si>
  <si>
    <t>Vital Medic Kluczbork</t>
  </si>
  <si>
    <t>Akademia Zdrowia Pasji i Nauki (VoIP)</t>
  </si>
  <si>
    <t>Beverly Aesthetic Clinic (VoIP)</t>
  </si>
  <si>
    <t>Niepubliczny Zakład Opieki Zdrowotnej Centrum Janusz Leśnik</t>
  </si>
  <si>
    <t>NZOZ Centrum Hipolitów</t>
  </si>
  <si>
    <t>Fizjoline Spółka Cywilna Beata Król, Rafał Wokrój</t>
  </si>
  <si>
    <t>Fizjoline - Szczecin</t>
  </si>
  <si>
    <t>przejście na voipa</t>
  </si>
  <si>
    <t>Bodyclinic Spółka Z Ograniczoną Odpowiedzialnością Spółka Komandytowa</t>
  </si>
  <si>
    <t>BodyClinic Warszawa</t>
  </si>
  <si>
    <t>Optovet Sp. z o. o.</t>
  </si>
  <si>
    <t>OptoVet</t>
  </si>
  <si>
    <t>Med-POZ (VoIP)</t>
  </si>
  <si>
    <t>Victi Spółka Z Ograniczoną Odpowiedzialnością</t>
  </si>
  <si>
    <t>NZOZ Victi</t>
  </si>
  <si>
    <t>Barwijuk Clinics Spółka Z Ograniczoną Odpowiedzialnością Spółka Komandytowa</t>
  </si>
  <si>
    <t>Medifem Klinika Kobiet (Barwijuk)</t>
  </si>
  <si>
    <t>Tulip Medical Group Ziemlewski Spółka Komandytowo-Akcyjna</t>
  </si>
  <si>
    <t>Klinika Ziemlewski</t>
  </si>
  <si>
    <t>Tygrysek</t>
  </si>
  <si>
    <t>Lux Med Sp. z o. o.</t>
  </si>
  <si>
    <t>Stomatologia Makara | Lux Med Sp. z o. o.</t>
  </si>
  <si>
    <t>Technodent Medycyna Estetyczna Spółka z o.o.</t>
  </si>
  <si>
    <t>Medycyna Estetyczna Na Księżym Młynie</t>
  </si>
  <si>
    <t>zejście na VOIP</t>
  </si>
  <si>
    <t>Samodzielny Publiczny Zakład Opieki Zdrowotnej Przychodnia Miejska W Józefowie</t>
  </si>
  <si>
    <t>Aesthetic Med Prywatne Centrum Chirurgii Plastycznej I Rekonstrukcyjnej Andrzej Dmytrzak</t>
  </si>
  <si>
    <t>Aesthetic Med Szczecin</t>
  </si>
  <si>
    <t>Scanmed Spółka Akcyjna</t>
  </si>
  <si>
    <t>Gastromed Lublin</t>
  </si>
  <si>
    <t>Ezra Uksw Spółka Z Ograniczoną Odpowiedzialnością</t>
  </si>
  <si>
    <t>Fizjo Pomoc Medical Center Sp. z o. o. Spółka Komandytowa</t>
  </si>
  <si>
    <t>Fizjo Pomoc</t>
  </si>
  <si>
    <t>Medfemina Sp. z o. o. Szpital Spółka Komandytowa</t>
  </si>
  <si>
    <t>Medfemina</t>
  </si>
  <si>
    <t>Medimel Indywidualna Specjalistyczna Praktyka Lekarska Katarzyna Ostrowska-Clark</t>
  </si>
  <si>
    <t>Medimel</t>
  </si>
  <si>
    <t>Re Vitae Medycyna Estetyczna I Chirurgia Plastyczna Spółka Z Ograniczoną Odpowiedzialnością</t>
  </si>
  <si>
    <t>Re Vitae</t>
  </si>
  <si>
    <t>Arenamed-Rehabilitacja Medyczna Sp. z o. o.</t>
  </si>
  <si>
    <t>Rehadent</t>
  </si>
  <si>
    <t>Medical Clinic of Warsaw (CM Artevena) </t>
  </si>
  <si>
    <t>Chirurgia I Dermatologia Estetyczna Dzieci I Dorosłych Bagłaj Spółka Z Ograniczoną Odpowiedzialnością</t>
  </si>
  <si>
    <t>CHIDE Bagłaj</t>
  </si>
  <si>
    <t>Sim Clinic A. Schreiber K. Chrabkowska Spółka Jawna</t>
  </si>
  <si>
    <t>Sim Clinic</t>
  </si>
  <si>
    <t>Medicine Clinic Sp. z o. o.</t>
  </si>
  <si>
    <t>Medicine Clinic (Medyczne Rewolucje)</t>
  </si>
  <si>
    <t>Centrum Profilaktyki I Lecznictwa Cenpil Spółka Z Ograniczoną Odpowiedzialnością</t>
  </si>
  <si>
    <t>CENPiL</t>
  </si>
  <si>
    <t>Consultron S. Listopadzki, J. Szyperski, P. Jarzemski Spółka Jawna</t>
  </si>
  <si>
    <t>Szpital św.Łukasza</t>
  </si>
  <si>
    <t>Pro-Femina Piotr Piech I In. Spółka Jawna</t>
  </si>
  <si>
    <t>Pro-femina</t>
  </si>
  <si>
    <t>Saykids Spółka Akcyjna</t>
  </si>
  <si>
    <t>Saykids</t>
  </si>
  <si>
    <t>Cliniclab Specjalistyczne Badania Laboratoryjne Spółka Akcyjna</t>
  </si>
  <si>
    <t>”Centrum Medyczne” Spółka Z Ograniczoną Odpowiedzialnością</t>
  </si>
  <si>
    <t>CM Zduńska Wola</t>
  </si>
  <si>
    <t>Projekt Uśmiech Bis Sp. z o.o.</t>
  </si>
  <si>
    <t>Projekt Uśmiech</t>
  </si>
  <si>
    <t>Estidental Spółka Z Ograniczoną Odpowiedzialnością</t>
  </si>
  <si>
    <t>EstiDental</t>
  </si>
  <si>
    <t>Nazwa</t>
  </si>
  <si>
    <t>Nazwa 2</t>
  </si>
  <si>
    <t>01.2022</t>
  </si>
  <si>
    <t>02.2022</t>
  </si>
  <si>
    <t>03.2022</t>
  </si>
  <si>
    <t>04.2022</t>
  </si>
  <si>
    <t>05.2022</t>
  </si>
  <si>
    <t>06.2022</t>
  </si>
  <si>
    <t>07.2022</t>
  </si>
  <si>
    <t>08.2022</t>
  </si>
  <si>
    <t>09.2022</t>
  </si>
  <si>
    <t>10.2022</t>
  </si>
  <si>
    <t>11.2022</t>
  </si>
  <si>
    <t>12.2022</t>
  </si>
  <si>
    <t>01.2023</t>
  </si>
  <si>
    <t>02.2023</t>
  </si>
  <si>
    <t>03.2023</t>
  </si>
  <si>
    <t>04.2023</t>
  </si>
  <si>
    <t>05.2023</t>
  </si>
  <si>
    <t>06.2023</t>
  </si>
  <si>
    <t>07.2023</t>
  </si>
  <si>
    <t>08.2023</t>
  </si>
  <si>
    <t>09.2023</t>
  </si>
  <si>
    <t>10.2023</t>
  </si>
  <si>
    <t>11.2023</t>
  </si>
  <si>
    <t>12.2023</t>
  </si>
  <si>
    <t>01.2024</t>
  </si>
  <si>
    <t>02.2024</t>
  </si>
  <si>
    <t>03.2024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</si>
  <si>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</si>
  <si>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</si>
  <si>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</si>
  <si>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</si>
  <si>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</si>
  <si>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</si>
  <si>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</si>
  <si>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</si>
  <si>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</si>
  <si>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</si>
  <si>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</si>
  <si>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</si>
  <si>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</si>
  <si>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</si>
  <si>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</si>
  <si>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</si>
  <si>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</si>
  <si>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</si>
  <si>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</si>
  <si>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</si>
  <si>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</si>
  <si>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IMPORTANT DETAIL</t>
  </si>
  <si>
    <t>In order to insert a suggestion that uses a PivotTable or formula, your data was organized in columns with a single header row.</t>
  </si>
  <si>
    <t>Field1</t>
  </si>
  <si>
    <t>Count of Field1</t>
  </si>
  <si>
    <t>Grand Total</t>
  </si>
  <si>
    <t>zcrm_751364000040128000</t>
  </si>
  <si>
    <t>ID CRMA</t>
  </si>
  <si>
    <t>zakonczenie wspolpracy</t>
  </si>
  <si>
    <t>przed 01.2022</t>
  </si>
  <si>
    <t>07.2025 na voip</t>
  </si>
  <si>
    <t>04.2025 na voip</t>
  </si>
  <si>
    <t>03.2025 na voip</t>
  </si>
  <si>
    <t>11.2022 na VOIP</t>
  </si>
  <si>
    <t>04.2023 na voip</t>
  </si>
  <si>
    <t>05.2023 na voip</t>
  </si>
  <si>
    <t>12.2024 (rezygnacja z VOIPA?)</t>
  </si>
  <si>
    <t>12.2023 (rtezygnacja z VOIPa?)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</si>
</sst>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zł&quot;;[Red]\-#,##0.00\ &quot;zł&quot;"/>
    <numFmt numFmtId="43" formatCode="_-* #,##0.00_-;\-* #,##0.00_-;_-* &quot;-&quot;??_-;_-@_-"/>
    <numFmt numFmtId="164" formatCode="mm/yyyy"/>
    <numFmt numFmtId="165" formatCode="#,##0.00\ [$zł-415]"/>
    <numFmt numFmtId="166" formatCode="_-* #,##0.00\ _z_ł_-;\-* #,##0.00\ _z_ł_-;_-* &quot;-&quot;??\ _z_ł_-;_-@_-"/>
  </numFmts>
  <fonts count="6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u val="double"/>
      <sz val="10"/>
      <name val="Calibri"/>
      <family val="2"/>
      <charset val="238"/>
      <scheme val="minor"/>
    </font>
    <font>
      <sz val="12"/>
      <color rgb="FF4472C4"/>
      <name val="Calibri"/>
      <family val="2"/>
      <charset val="238"/>
      <scheme val="minor"/>
    </font>
    <font>
      <sz val="12"/>
      <color rgb="FF333333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vertical="center"/>
    </xf>
    <xf numFmtId="164" fontId="2" fillId="0" borderId="0" xfId="2" applyNumberFormat="1" applyFont="1" applyAlignment="1">
      <alignment horizontal="left" vertical="center"/>
    </xf>
    <xf numFmtId="164" fontId="2" fillId="0" borderId="1" xfId="2" applyNumberFormat="1" applyFont="1" applyBorder="1" applyAlignment="1">
      <alignment horizontal="left" vertical="center"/>
    </xf>
    <xf numFmtId="165" fontId="2" fillId="0" borderId="0" xfId="2" applyNumberFormat="1" applyFont="1" applyAlignment="1">
      <alignment horizontal="left" vertical="center"/>
    </xf>
    <xf numFmtId="0" fontId="2" fillId="0" borderId="1" xfId="2" applyFont="1" applyBorder="1" applyAlignment="1">
      <alignment horizontal="left" vertical="center"/>
    </xf>
    <xf numFmtId="165" fontId="2" fillId="0" borderId="1" xfId="2" applyNumberFormat="1" applyFont="1" applyBorder="1" applyAlignment="1">
      <alignment horizontal="left" vertical="center"/>
    </xf>
    <xf numFmtId="165" fontId="3" fillId="0" borderId="0" xfId="2" applyNumberFormat="1" applyFont="1" applyAlignment="1">
      <alignment horizontal="left" vertical="center"/>
    </xf>
    <xf numFmtId="165" fontId="2" fillId="0" borderId="2" xfId="2" applyNumberFormat="1" applyFont="1" applyBorder="1" applyAlignment="1">
      <alignment horizontal="left" vertical="center"/>
    </xf>
    <xf numFmtId="43" fontId="2" fillId="0" borderId="0" xfId="3" applyFont="1" applyFill="1" applyAlignment="1">
      <alignment horizontal="left" vertical="center"/>
    </xf>
    <xf numFmtId="166" fontId="2" fillId="0" borderId="0" xfId="2" applyNumberFormat="1" applyFont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2" fontId="2" fillId="0" borderId="0" xfId="2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3" fontId="2" fillId="0" borderId="0" xfId="1" applyFont="1" applyFill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43" fontId="2" fillId="0" borderId="0" xfId="1" applyFont="1" applyFill="1" applyBorder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4" xfId="2" applyFont="1" applyBorder="1" applyAlignment="1">
      <alignment horizontal="left" vertical="center"/>
    </xf>
    <xf numFmtId="0" fontId="2" fillId="0" borderId="5" xfId="2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left" vertical="center"/>
    </xf>
    <xf numFmtId="165" fontId="2" fillId="0" borderId="5" xfId="2" applyNumberFormat="1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165" fontId="2" fillId="0" borderId="0" xfId="2" applyNumberFormat="1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165" fontId="3" fillId="0" borderId="1" xfId="2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5" fontId="3" fillId="0" borderId="0" xfId="2" applyNumberFormat="1" applyFont="1" applyBorder="1" applyAlignment="1">
      <alignment horizontal="left" vertical="center"/>
    </xf>
    <xf numFmtId="165" fontId="3" fillId="0" borderId="0" xfId="0" applyNumberFormat="1" applyFont="1" applyBorder="1" applyAlignment="1">
      <alignment horizontal="left" vertical="center"/>
    </xf>
    <xf numFmtId="2" fontId="2" fillId="0" borderId="0" xfId="0" applyNumberFormat="1" applyFont="1" applyBorder="1" applyAlignment="1">
      <alignment horizontal="left" vertical="center"/>
    </xf>
    <xf numFmtId="43" fontId="2" fillId="0" borderId="0" xfId="3" applyFont="1" applyFill="1" applyBorder="1" applyAlignment="1">
      <alignment horizontal="left" vertical="center"/>
    </xf>
    <xf numFmtId="8" fontId="2" fillId="0" borderId="0" xfId="0" applyNumberFormat="1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0" fillId="0" borderId="0" xfId="0" applyNumberFormat="1"/>
    <xf numFmtId="0" fontId="0" fillId="0" borderId="0" xfId="0" pivotButton="1"/>
    <xf numFmtId="164" fontId="2" fillId="0" borderId="0" xfId="2" applyNumberFormat="1" applyFont="1" applyFill="1" applyAlignment="1">
      <alignment horizontal="left" vertical="center"/>
    </xf>
    <xf numFmtId="0" fontId="2" fillId="0" borderId="0" xfId="2" applyFont="1" applyBorder="1" applyAlignment="1">
      <alignment horizontal="left" vertical="center" wrapText="1"/>
    </xf>
    <xf numFmtId="2" fontId="2" fillId="0" borderId="0" xfId="2" applyNumberFormat="1" applyFont="1" applyBorder="1" applyAlignment="1">
      <alignment horizontal="left" vertical="center"/>
    </xf>
  </cellXfs>
  <cellStyles count="4">
    <cellStyle name="Comma" xfId="1" builtinId="3"/>
    <cellStyle name="Dziesiętny 2 2" xfId="3" xr:uid="{39DDF1B0-DA7E-A247-B645-15D13D480F35}"/>
    <cellStyle name="Normal" xfId="0" builtinId="0"/>
    <cellStyle name="Normalny 2 2" xfId="2" xr:uid="{EF559D48-503C-0043-B7DA-71ACB77C85D9}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4" formatCode="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numFmt numFmtId="165" formatCode="#,##0.00\ [$zł-415]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38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name" id="{9E47FCA0-5032-E44D-92CE-B996C84DAC89}" userId="Noname" providerId="None"/>
  <person displayName="Adam Pragacz" id="{155AE5DD-003B-8747-9D6A-B5FF6FB2392B}" userId="S::adam.pragacz@medidesk.com::cae7f4c8-8ef6-496e-9235-ea63704cff41" providerId="AD"/>
  <person displayName="Karolina Tutaj" id="{CCA805DB-13A0-C94F-9D9D-4DE93F84D174}" userId="S::karolina.tutaj@medidesk.com::67e0f4f5-f949-475d-8113-d3f0ab535cd4" providerId="AD"/>
  <person displayName="Monika Gawrych" id="{CFA51334-C468-D442-B55B-BED561EC2CD5}" userId="S::monika.gawrych@medidesk.com::3d606eb2-29b5-439c-9816-cdb546145b78" providerId="AD"/>
  <person displayName="Gabriela Lemauviel" id="{4F81A39D-47FD-0746-83E3-A23B7BA8FEE7}" userId="S::gabriela.lemauviel@medidesk.com::f625b21c-3ecb-4b81-bd3c-8e38fccd0e6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arzyna Ochnik" refreshedDate="45953.481317939812" createdVersion="8" refreshedVersion="8" minRefreshableVersion="3" recordCount="156" xr:uid="{D48B92D0-DA29-4256-B8B7-67AC0C242B8C}">
  <cacheSource type="worksheet">
    <worksheetSource ref="C6:C162" sheet="Sheet2"/>
  </cacheSource>
  <cacheFields count="1">
    <cacheField name="Field1" numFmtId="0">
      <sharedItems containsMixedTypes="1" containsNumber="1" containsInteger="1" minValue="1132457808" maxValue="9950043000" count="146">
        <n v="1132457808"/>
        <n v="1132742696"/>
        <n v="1133042357"/>
        <n v="1181640926"/>
        <n v="5070094210"/>
        <n v="5213095056"/>
        <n v="5213691717"/>
        <n v="5213782466"/>
        <n v="5213854438"/>
        <n v="5213912615"/>
        <n v="5213976638"/>
        <n v="5213983383"/>
        <n v="5214038422"/>
        <n v="5222586517"/>
        <n v="5222928662"/>
        <n v="5222999260"/>
        <n v="5223096548"/>
        <n v="5223156256"/>
        <n v="5251488680"/>
        <n v="5252350506"/>
        <n v="5252615933"/>
        <n v="5252800889"/>
        <n v="5252808164"/>
        <n v="5262380182"/>
        <n v="5262813327"/>
        <n v="5272523080"/>
        <n v="5272651441"/>
        <n v="5321643282"/>
        <n v="5361922350"/>
        <n v="5422964757"/>
        <n v="5423055755"/>
        <n v="5472100071"/>
        <n v="5472200973"/>
        <n v="5542485321"/>
        <n v="5671583830"/>
        <n v="5840203541"/>
        <n v="5840358054"/>
        <n v="5862245682"/>
        <n v="5862324364"/>
        <n v="5993265550"/>
        <n v="6312291826"/>
        <n v="6312382167"/>
        <n v="6342823469"/>
        <n v="6342945468"/>
        <n v="6431621201"/>
        <n v="6443013625"/>
        <n v="6482796979"/>
        <n v="6571309828"/>
        <n v="6572922910"/>
        <n v="6612364481"/>
        <n v="6692304416"/>
        <n v="6731898059"/>
        <n v="6751209442"/>
        <n v="6751504715"/>
        <n v="6751694710"/>
        <n v="6760000150"/>
        <n v="6762484040"/>
        <n v="6772250007"/>
        <n v="6772444728"/>
        <n v="6772450723"/>
        <n v="6783144467"/>
        <n v="6791253691"/>
        <n v="6793182802"/>
        <n v="6831994093"/>
        <n v="6861691753"/>
        <n v="6922264302"/>
        <n v="6922315643"/>
        <n v="7010343001"/>
        <n v="7010819366"/>
        <n v="7011016480"/>
        <n v="7011106763"/>
        <n v="7121640630"/>
        <n v="7122576845"/>
        <n v="7123480633"/>
        <n v="7181974501"/>
        <n v="7182024061"/>
        <n v="7262648898"/>
        <n v="7272771778"/>
        <n v="7282799695"/>
        <n v="7492088894"/>
        <n v="7712886908"/>
        <n v="7773358902"/>
        <n v="7792008244"/>
        <n v="7792425870"/>
        <n v="7811850291"/>
        <n v="7812018749"/>
        <n v="7822550546"/>
        <n v="7822767033"/>
        <n v="7831848096"/>
        <n v="7831850472"/>
        <n v="7921300143"/>
        <n v="8133690835"/>
        <n v="8133791111"/>
        <n v="8291543085"/>
        <n v="8291579611"/>
        <n v="8361832306"/>
        <n v="8371638959"/>
        <n v="8381031650"/>
        <n v="8481718487"/>
        <n v="8512074804"/>
        <n v="8513208336"/>
        <n v="8521777215"/>
        <n v="8581700110"/>
        <n v="8722425285"/>
        <n v="8762458977"/>
        <n v="8811376536"/>
        <n v="8942722074"/>
        <n v="8942995292"/>
        <n v="8943083506"/>
        <n v="8943128568"/>
        <n v="8943144053"/>
        <n v="8952237825"/>
        <n v="8971849110"/>
        <n v="8982173923"/>
        <n v="8992295444"/>
        <n v="8992306076"/>
        <n v="8992770431"/>
        <n v="8992866645"/>
        <n v="9111914587"/>
        <n v="9141566659"/>
        <n v="9222695757"/>
        <n v="9451974588"/>
        <n v="9452222181"/>
        <n v="9462662763"/>
        <n v="9512470819"/>
        <n v="9512504004"/>
        <n v="9512515114"/>
        <n v="9512515321"/>
        <n v="9520002091"/>
        <n v="9521356916"/>
        <n v="9522076099"/>
        <n v="9522121948"/>
        <n v="9541509300"/>
        <n v="9552376162"/>
        <n v="9552385043"/>
        <n v="9562304388"/>
        <n v="9562319912"/>
        <n v="9570303587"/>
        <n v="9571075450"/>
        <n v="9571078158"/>
        <n v="9571120216"/>
        <n v="9592055978"/>
        <n v="9691227253"/>
        <n v="9721190768"/>
        <n v="9950043000"/>
        <s v="5611596533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x v="0"/>
  </r>
  <r>
    <x v="0"/>
  </r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5"/>
  </r>
  <r>
    <x v="135"/>
  </r>
  <r>
    <x v="135"/>
  </r>
  <r>
    <x v="136"/>
  </r>
  <r>
    <x v="137"/>
  </r>
  <r>
    <x v="138"/>
  </r>
  <r>
    <x v="138"/>
  </r>
  <r>
    <x v="139"/>
  </r>
  <r>
    <x v="140"/>
  </r>
  <r>
    <x v="141"/>
  </r>
  <r>
    <x v="142"/>
  </r>
  <r>
    <x v="143"/>
  </r>
  <r>
    <x v="144"/>
  </r>
  <r>
    <x v="1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BCE5A-7775-4DA4-AF0D-FF340D386A1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49" firstHeaderRow="1" firstDataRow="1" firstDataCol="1"/>
  <pivotFields count="1">
    <pivotField name="NIP" axis="axisRow" dataField="1" compact="0" outline="0" showAll="0" sortType="descending">
      <items count="1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147">
    <i>
      <x v="135"/>
    </i>
    <i>
      <x/>
    </i>
    <i>
      <x v="107"/>
    </i>
    <i>
      <x v="87"/>
    </i>
    <i>
      <x v="123"/>
    </i>
    <i>
      <x v="52"/>
    </i>
    <i>
      <x v="138"/>
    </i>
    <i>
      <x v="134"/>
    </i>
    <i>
      <x v="102"/>
    </i>
    <i>
      <x v="86"/>
    </i>
    <i>
      <x v="8"/>
    </i>
    <i>
      <x v="118"/>
    </i>
    <i>
      <x v="9"/>
    </i>
    <i>
      <x v="78"/>
    </i>
    <i>
      <x v="10"/>
    </i>
    <i>
      <x v="94"/>
    </i>
    <i>
      <x v="11"/>
    </i>
    <i>
      <x v="110"/>
    </i>
    <i>
      <x v="12"/>
    </i>
    <i>
      <x v="126"/>
    </i>
    <i>
      <x v="13"/>
    </i>
    <i>
      <x v="74"/>
    </i>
    <i>
      <x v="14"/>
    </i>
    <i>
      <x v="82"/>
    </i>
    <i>
      <x v="15"/>
    </i>
    <i>
      <x v="90"/>
    </i>
    <i>
      <x v="16"/>
    </i>
    <i>
      <x v="98"/>
    </i>
    <i>
      <x v="17"/>
    </i>
    <i>
      <x v="106"/>
    </i>
    <i>
      <x v="18"/>
    </i>
    <i>
      <x v="114"/>
    </i>
    <i>
      <x v="19"/>
    </i>
    <i>
      <x v="122"/>
    </i>
    <i>
      <x v="20"/>
    </i>
    <i>
      <x v="130"/>
    </i>
    <i>
      <x v="21"/>
    </i>
    <i>
      <x v="143"/>
    </i>
    <i>
      <x v="22"/>
    </i>
    <i>
      <x v="76"/>
    </i>
    <i>
      <x v="23"/>
    </i>
    <i>
      <x v="80"/>
    </i>
    <i>
      <x v="24"/>
    </i>
    <i>
      <x v="84"/>
    </i>
    <i>
      <x v="25"/>
    </i>
    <i>
      <x v="88"/>
    </i>
    <i>
      <x v="26"/>
    </i>
    <i>
      <x v="92"/>
    </i>
    <i>
      <x v="27"/>
    </i>
    <i>
      <x v="96"/>
    </i>
    <i>
      <x v="28"/>
    </i>
    <i>
      <x v="100"/>
    </i>
    <i>
      <x v="29"/>
    </i>
    <i>
      <x v="104"/>
    </i>
    <i>
      <x v="30"/>
    </i>
    <i>
      <x v="108"/>
    </i>
    <i>
      <x v="31"/>
    </i>
    <i>
      <x v="112"/>
    </i>
    <i>
      <x v="32"/>
    </i>
    <i>
      <x v="116"/>
    </i>
    <i>
      <x v="33"/>
    </i>
    <i>
      <x v="120"/>
    </i>
    <i>
      <x v="34"/>
    </i>
    <i>
      <x v="124"/>
    </i>
    <i>
      <x v="35"/>
    </i>
    <i>
      <x v="128"/>
    </i>
    <i>
      <x v="36"/>
    </i>
    <i>
      <x v="132"/>
    </i>
    <i>
      <x v="37"/>
    </i>
    <i>
      <x v="136"/>
    </i>
    <i>
      <x v="38"/>
    </i>
    <i>
      <x v="2"/>
    </i>
    <i>
      <x v="39"/>
    </i>
    <i>
      <x v="75"/>
    </i>
    <i>
      <x v="40"/>
    </i>
    <i>
      <x v="77"/>
    </i>
    <i>
      <x v="41"/>
    </i>
    <i>
      <x v="79"/>
    </i>
    <i>
      <x v="42"/>
    </i>
    <i>
      <x v="81"/>
    </i>
    <i>
      <x v="43"/>
    </i>
    <i>
      <x v="83"/>
    </i>
    <i>
      <x v="44"/>
    </i>
    <i>
      <x v="85"/>
    </i>
    <i>
      <x v="45"/>
    </i>
    <i>
      <x v="4"/>
    </i>
    <i>
      <x v="46"/>
    </i>
    <i>
      <x v="89"/>
    </i>
    <i>
      <x v="47"/>
    </i>
    <i>
      <x v="91"/>
    </i>
    <i>
      <x v="48"/>
    </i>
    <i>
      <x v="93"/>
    </i>
    <i>
      <x v="49"/>
    </i>
    <i>
      <x v="95"/>
    </i>
    <i>
      <x v="50"/>
    </i>
    <i>
      <x v="97"/>
    </i>
    <i>
      <x v="51"/>
    </i>
    <i>
      <x v="99"/>
    </i>
    <i>
      <x v="3"/>
    </i>
    <i>
      <x v="101"/>
    </i>
    <i>
      <x v="53"/>
    </i>
    <i>
      <x v="103"/>
    </i>
    <i>
      <x v="54"/>
    </i>
    <i>
      <x v="105"/>
    </i>
    <i>
      <x v="55"/>
    </i>
    <i>
      <x v="5"/>
    </i>
    <i>
      <x v="56"/>
    </i>
    <i>
      <x v="109"/>
    </i>
    <i>
      <x v="57"/>
    </i>
    <i>
      <x v="111"/>
    </i>
    <i>
      <x v="58"/>
    </i>
    <i>
      <x v="113"/>
    </i>
    <i>
      <x v="59"/>
    </i>
    <i>
      <x v="115"/>
    </i>
    <i>
      <x v="60"/>
    </i>
    <i>
      <x v="117"/>
    </i>
    <i>
      <x v="61"/>
    </i>
    <i>
      <x v="119"/>
    </i>
    <i>
      <x v="62"/>
    </i>
    <i>
      <x v="121"/>
    </i>
    <i>
      <x v="63"/>
    </i>
    <i>
      <x v="6"/>
    </i>
    <i>
      <x v="64"/>
    </i>
    <i>
      <x v="125"/>
    </i>
    <i>
      <x v="65"/>
    </i>
    <i>
      <x v="127"/>
    </i>
    <i>
      <x v="66"/>
    </i>
    <i>
      <x v="129"/>
    </i>
    <i>
      <x v="67"/>
    </i>
    <i>
      <x v="131"/>
    </i>
    <i>
      <x v="68"/>
    </i>
    <i>
      <x v="133"/>
    </i>
    <i>
      <x v="137"/>
    </i>
    <i>
      <x v="1"/>
    </i>
    <i>
      <x v="139"/>
    </i>
    <i>
      <x v="7"/>
    </i>
    <i>
      <x v="141"/>
    </i>
    <i>
      <x v="69"/>
    </i>
    <i>
      <x v="140"/>
    </i>
    <i>
      <x v="70"/>
    </i>
    <i>
      <x v="142"/>
    </i>
    <i>
      <x v="71"/>
    </i>
    <i>
      <x v="144"/>
    </i>
    <i>
      <x v="145"/>
    </i>
    <i>
      <x v="73"/>
    </i>
    <i>
      <x v="72"/>
    </i>
    <i t="grand">
      <x/>
    </i>
  </rowItems>
  <colItems count="1">
    <i/>
  </colItems>
  <dataFields count="1">
    <dataField name="Count of Field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F171D2-3E8F-4FE8-9E97-E71D782D0ECD}" name="Table1" displayName="Table1" ref="A1:BB159" totalsRowShown="0" headerRowDxfId="2" dataDxfId="3" headerRowCellStyle="Normalny 2 2">
  <autoFilter ref="A1:BB159" xr:uid="{8BF171D2-3E8F-4FE8-9E97-E71D782D0ECD}"/>
  <sortState xmlns:xlrd2="http://schemas.microsoft.com/office/spreadsheetml/2017/richdata2" ref="A2:BB159">
    <sortCondition descending="1" ref="BB1:BB159"/>
  </sortState>
  <tableColumns count="54">
    <tableColumn id="1" xr3:uid="{56AA810E-77D0-45BB-A6F6-2811FCE3CD35}" name="NIP" dataDxfId="53"/>
    <tableColumn id="2" xr3:uid="{ABEE987C-4395-4AE6-B49D-C2818AE79655}" name="ID" dataDxfId="52"/>
    <tableColumn id="53" xr3:uid="{AA4C0226-88F3-415B-B6FF-459003009468}" name="ID CRMA" dataDxfId="1"/>
    <tableColumn id="3" xr3:uid="{283ECF0F-D169-4446-83F0-F8B21E30690F}" name="Nazwa" dataDxfId="51"/>
    <tableColumn id="4" xr3:uid="{981C3A3C-A097-42EF-A34D-B1C0A809BCD6}" name="Nazwa 2" dataDxfId="50"/>
    <tableColumn id="5" xr3:uid="{AB55423A-DD4A-4E29-8FEC-3472BE86C5A6}" name="01.2022" dataDxfId="49"/>
    <tableColumn id="6" xr3:uid="{F209E028-2B5D-4A40-B183-4D9946EA9870}" name="02.2022" dataDxfId="48"/>
    <tableColumn id="7" xr3:uid="{3793D4D5-3C13-4C23-A291-3813A7FC0113}" name="03.2022" dataDxfId="47"/>
    <tableColumn id="8" xr3:uid="{4F35E5D0-0580-49AE-AAEC-D87463BDF122}" name="04.2022" dataDxfId="46"/>
    <tableColumn id="9" xr3:uid="{0B40982E-B1C7-4921-A467-15B9FCF8E29F}" name="05.2022" dataDxfId="45"/>
    <tableColumn id="10" xr3:uid="{D491C152-9316-42E6-BE4C-1B53049AB2BD}" name="06.2022" dataDxfId="44"/>
    <tableColumn id="11" xr3:uid="{562F14A3-EAEF-4A7F-A29B-F8B2B1FCFCF5}" name="07.2022" dataDxfId="43"/>
    <tableColumn id="12" xr3:uid="{DA7148CA-A13F-41E5-A356-279C174BBEE2}" name="08.2022" dataDxfId="42"/>
    <tableColumn id="13" xr3:uid="{D64FB76D-087A-47B0-BC6D-A4F942C7BF89}" name="09.2022" dataDxfId="41"/>
    <tableColumn id="14" xr3:uid="{896E677C-F2FF-436A-9727-FD9A88DC7864}" name="10.2022" dataDxfId="40"/>
    <tableColumn id="15" xr3:uid="{FDC7E4E2-9BB3-4FE5-A1E7-05BF89E41A93}" name="11.2022" dataDxfId="39"/>
    <tableColumn id="16" xr3:uid="{23BF74AC-C5D7-4390-9DFD-36908059241B}" name="12.2022" dataDxfId="38"/>
    <tableColumn id="17" xr3:uid="{1729907E-91F4-479C-96E8-3B14773EDC9E}" name="01.2023" dataDxfId="37"/>
    <tableColumn id="18" xr3:uid="{442D4707-A983-4910-A822-24B0200612F2}" name="02.2023" dataDxfId="36"/>
    <tableColumn id="19" xr3:uid="{00B705E8-E674-47FB-9B05-76B555193FCF}" name="03.2023" dataDxfId="35"/>
    <tableColumn id="20" xr3:uid="{28A31FC9-31D9-4422-8885-536BA3648C0C}" name="04.2023" dataDxfId="34"/>
    <tableColumn id="21" xr3:uid="{15D23874-E77D-4F4D-9494-4A64A678F857}" name="05.2023" dataDxfId="33"/>
    <tableColumn id="22" xr3:uid="{9689E6B9-AC71-4B2C-9B2D-D90443915DC5}" name="06.2023" dataDxfId="32"/>
    <tableColumn id="23" xr3:uid="{EF0BDC8A-5035-4826-BB30-E056F83388FF}" name="07.2023" dataDxfId="31"/>
    <tableColumn id="24" xr3:uid="{1DE03AFC-36B8-4696-805A-D7040CAC7019}" name="08.2023" dataDxfId="30"/>
    <tableColumn id="25" xr3:uid="{ACC0011E-759B-4E8C-ABA6-5AE30AF70A47}" name="09.2023" dataDxfId="29"/>
    <tableColumn id="26" xr3:uid="{83EA291F-920E-45BB-AB5E-E5648292737E}" name="10.2023" dataDxfId="28"/>
    <tableColumn id="27" xr3:uid="{D90DB5E9-77AC-4437-836A-4E455122C473}" name="11.2023" dataDxfId="27"/>
    <tableColumn id="28" xr3:uid="{08F3D6D1-ED6A-4B46-B82D-C4B7AE394CD0}" name="12.2023" dataDxfId="26"/>
    <tableColumn id="29" xr3:uid="{EB682B86-53A4-44AB-842B-2256F82B7D0A}" name="01.2024" dataDxfId="25"/>
    <tableColumn id="30" xr3:uid="{F7BB8DE0-2EEB-4DE9-8C66-1E2723E48456}" name="02.2024"/>
    <tableColumn id="31" xr3:uid="{03C7F9F7-96E7-4713-B82C-754B821E50DA}" name="03.2024" dataDxfId="24"/>
    <tableColumn id="32" xr3:uid="{AD32A70F-D50A-4F9A-A14B-51BA129ED9E7}" name="04.2024" dataDxfId="23"/>
    <tableColumn id="33" xr3:uid="{83B5C596-5DF3-453E-AE55-5A15336CF89A}" name="05.2024" dataDxfId="22"/>
    <tableColumn id="34" xr3:uid="{FFFC978C-A254-4BFA-9084-4CB1A74A065C}" name="06.2024" dataDxfId="21"/>
    <tableColumn id="35" xr3:uid="{A29D692E-C560-429D-B4A5-E894B177DEF4}" name="07.2024" dataDxfId="20"/>
    <tableColumn id="36" xr3:uid="{E9D9C5EE-17D2-4CE7-96BD-DAF3968542C3}" name="08.2024" dataDxfId="19"/>
    <tableColumn id="37" xr3:uid="{F390C608-9B97-4421-8F84-A0DA16971529}" name="09.2024" dataDxfId="18"/>
    <tableColumn id="38" xr3:uid="{4A8A6320-4C7D-411C-AD6C-88136C938C04}" name="10.2024" dataDxfId="17"/>
    <tableColumn id="39" xr3:uid="{A67F0A98-2057-4404-8B2C-7037F1481231}" name="11.2024" dataDxfId="16"/>
    <tableColumn id="40" xr3:uid="{81F85B58-29D2-4581-8F81-0E0A3E1FBB73}" name="12.2024" dataDxfId="15"/>
    <tableColumn id="41" xr3:uid="{A597778B-B81C-41AE-8CC5-AC2F510C996C}" name="01.2025" dataDxfId="14"/>
    <tableColumn id="42" xr3:uid="{24D11D57-4735-4BC3-A8A7-75D32D847E76}" name="02.2025" dataDxfId="13"/>
    <tableColumn id="43" xr3:uid="{A411690E-2371-486B-8F93-9B12E96CDED1}" name="03.2025"/>
    <tableColumn id="44" xr3:uid="{9BA2388C-F33A-49E2-8E7A-694A2D196C98}" name="04.2025" dataDxfId="12" dataCellStyle="Comma"/>
    <tableColumn id="45" xr3:uid="{D3B921A2-F962-482D-9574-A177F195C728}" name="05.2025" dataDxfId="11" dataCellStyle="Comma"/>
    <tableColumn id="46" xr3:uid="{4BF17EAE-71BC-46C3-ACE1-5A4F40EE9579}" name="06.2025" dataDxfId="10" dataCellStyle="Comma"/>
    <tableColumn id="47" xr3:uid="{FB16B50C-5ED9-4610-8315-6B47001AA6CF}" name="07.2025" dataDxfId="9" dataCellStyle="Comma"/>
    <tableColumn id="48" xr3:uid="{3C68D8E7-E3E4-4F8D-B46F-65682FA4A6D7}" name="08.2025" dataDxfId="8" dataCellStyle="Comma"/>
    <tableColumn id="49" xr3:uid="{30C71B19-53E6-4199-83EE-47332A3083DE}" name="09.2025" dataDxfId="7"/>
    <tableColumn id="50" xr3:uid="{89616C6C-2CFC-4C58-9843-EA434CAA0A1C}" name="10.2025" dataDxfId="6"/>
    <tableColumn id="51" xr3:uid="{9AC4D00B-67CB-4F38-867A-DFC39D6A5DE2}" name="11.2025" dataDxfId="5"/>
    <tableColumn id="52" xr3:uid="{0CA7DA9A-35CC-4664-A680-F61C8DAE695E}" name="12.2025" dataDxfId="4"/>
    <tableColumn id="54" xr3:uid="{50EE7561-C97B-4CFD-A51E-6DAED44FE74D}" name="zakonczenie wspolprac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5" dT="2025-07-15T13:33:41.73" personId="{CCA805DB-13A0-C94F-9D9D-4DE93F84D174}" id="{3EDC6814-F82C-0E4A-9F2C-5D51B6D6A7CF}">
    <text>Ostatnia fv we wrześniu</text>
  </threadedComment>
  <threadedComment ref="X6" dT="2023-07-27T11:49:50.67" personId="{155AE5DD-003B-8747-9D6A-B5FF6FB2392B}" id="{25DCC340-7340-E64B-B66B-B1C10219A1C2}">
    <text>Dodatkowy login Grzegorz Grądkowski 159-49(darmowe konto managera przy wdrożeniu)=110</text>
  </threadedComment>
  <threadedComment ref="AE6" dT="2024-02-08T15:23:40.51" personId="{CCA805DB-13A0-C94F-9D9D-4DE93F84D174}" id="{9729F480-0CE0-9648-848E-19559888B308}">
    <text>ZAM-322</text>
  </threadedComment>
  <threadedComment ref="AF6" dT="2024-02-08T15:23:40.51" personId="{CCA805DB-13A0-C94F-9D9D-4DE93F84D174}" id="{F940E794-DB9A-9443-989A-B71BD4CF6F68}">
    <text>ZAM-322</text>
  </threadedComment>
  <threadedComment ref="AR6" dT="2025-02-20T10:21:58.57" personId="{CCA805DB-13A0-C94F-9D9D-4DE93F84D174}" id="{1B9A2DCC-988A-D643-881A-75CD978992DC}">
    <text xml:space="preserve">Zmiana abonamentu i płatność z góry od 01.03 </text>
  </threadedComment>
  <threadedComment ref="AA7" dT="2023-11-23T09:23:14.94" personId="{CCA805DB-13A0-C94F-9D9D-4DE93F84D174}" id="{A1A331F3-1529-B74B-A5B7-3F0BAF8E97A3}">
    <text xml:space="preserve">ZAM-233 dodatkowy login od 23.10
</text>
  </threadedComment>
  <threadedComment ref="AB7" dT="2023-12-05T08:03:35.52" personId="{155AE5DD-003B-8747-9D6A-B5FF6FB2392B}" id="{00DAB187-1561-3545-BC2F-88945DAE9097}">
    <text>ZAM-259 dodatkowe 3 loginy</text>
  </threadedComment>
  <threadedComment ref="AC7" dT="2023-12-22T13:17:40.55" personId="{CCA805DB-13A0-C94F-9D9D-4DE93F84D174}" id="{6B9598A3-D514-574D-86C2-2C1D914C1866}">
    <text>ZAM-270 DODATKOWY LOGIN OD 1.12</text>
  </threadedComment>
  <threadedComment ref="AC7" dT="2023-12-22T13:19:22.76" personId="{CCA805DB-13A0-C94F-9D9D-4DE93F84D174}" id="{F9AADAF8-E28A-A54F-85D8-DADFA6B761BA}" parentId="{6B9598A3-D514-574D-86C2-2C1D914C1866}">
    <text>ZAM-285 Dodatkowy login od 5.12</text>
  </threadedComment>
  <threadedComment ref="AD7" dT="2023-12-22T13:17:40.55" personId="{CCA805DB-13A0-C94F-9D9D-4DE93F84D174}" id="{3731BD4E-0E65-CE4D-BC3A-F49846A327CB}">
    <text>ZAM-270 DODATKOWY LOGIN OD 1.12</text>
  </threadedComment>
  <threadedComment ref="AD7" dT="2023-12-22T13:19:22.76" personId="{CCA805DB-13A0-C94F-9D9D-4DE93F84D174}" id="{CA955ED3-AE76-D74F-96C4-40614A7DD090}" parentId="{3731BD4E-0E65-CE4D-BC3A-F49846A327CB}">
    <text>ZAM-285 Dodatkowy login od 5.12</text>
  </threadedComment>
  <threadedComment ref="AE7" dT="2024-02-20T13:45:32.20" personId="{CCA805DB-13A0-C94F-9D9D-4DE93F84D174}" id="{403E9149-8469-F04A-B82D-907C78902F25}">
    <text>Dodać nowe funkcjonalności</text>
  </threadedComment>
  <threadedComment ref="AR7" dT="2025-03-24T12:56:54.84" personId="{CCA805DB-13A0-C94F-9D9D-4DE93F84D174}" id="{1E487052-F29C-494D-B69B-0B440D9D5849}">
    <text>Zmiana abonamentu bez aneksu - jest zgoda mailowa na podwyżkę (Iza)</text>
  </threadedComment>
  <threadedComment ref="AX7" dT="2025-06-03T07:24:00.40" personId="{CCA805DB-13A0-C94F-9D9D-4DE93F84D174}" id="{3B96EDA4-51CE-F140-9D7A-9CCC98FE751A}">
    <text>wypowiedzenie złożone w maju</text>
  </threadedComment>
  <threadedComment ref="AX8" dT="2025-05-30T13:12:49.89" personId="{CCA805DB-13A0-C94F-9D9D-4DE93F84D174}" id="{6E355EED-485B-6746-9259-9337B49DF57E}">
    <text xml:space="preserve">Wypowiedzenie złożone w maju
</text>
  </threadedComment>
  <threadedComment ref="T9" dT="2023-03-03T13:22:42.73" personId="{9E47FCA0-5032-E44D-92CE-B996C84DAC89}" id="{F4F0384E-B6FB-6046-8C18-A5CDF903B980}">
    <text>Rezygnacja z teledmska</text>
  </threadedComment>
  <threadedComment ref="AX9" dT="2025-08-13T12:52:54.16" personId="{CCA805DB-13A0-C94F-9D9D-4DE93F84D174}" id="{B57D9576-8743-1746-8F3A-848B798240E1}">
    <text>Ostatnia fv sierpień</text>
  </threadedComment>
  <threadedComment ref="AR11" dT="2025-02-20T10:21:22.22" personId="{CCA805DB-13A0-C94F-9D9D-4DE93F84D174}" id="{9C87AD74-BD10-AA4F-9C8F-84FD779C1AD1}">
    <text xml:space="preserve">Zmiana abonamentu i płatność z góry od 01.03 </text>
  </threadedComment>
  <threadedComment ref="AV11" dT="2025-04-07T11:00:44.18" personId="{CCA805DB-13A0-C94F-9D9D-4DE93F84D174}" id="{FF6C7D65-ABA8-7F4A-8F09-52678923A972}">
    <text>Złożone wypowiedzenie w marcu</text>
  </threadedComment>
  <threadedComment ref="AB12" dT="2023-11-29T10:33:52.54" personId="{CCA805DB-13A0-C94F-9D9D-4DE93F84D174}" id="{672494CA-2420-034E-AA0E-67185CD42C47}">
    <text>733 zł przez pierwsze 6 miesięcy, potem 1098,75</text>
  </threadedComment>
  <threadedComment ref="AH12" dT="2024-05-29T13:32:19.81" personId="{CCA805DB-13A0-C94F-9D9D-4DE93F84D174}" id="{C63AB574-BA76-794C-A06B-EBC9ADD71CBF}">
    <text xml:space="preserve">Rabat przedłużony na 3 miesiące przez Daniela </text>
  </threadedComment>
  <threadedComment ref="AK12" dT="2024-08-26T13:01:44.71" personId="{CCA805DB-13A0-C94F-9D9D-4DE93F84D174}" id="{137AB182-D235-2646-A4AC-6AC531C0A749}">
    <text>Kwotę 733 zostawiamy do listopada 2024</text>
  </threadedComment>
  <threadedComment ref="AM12" dT="2024-09-06T08:13:19.43" personId="{CCA805DB-13A0-C94F-9D9D-4DE93F84D174}" id="{DDA2B24B-C4A7-824E-A094-9EFDEC0A68D5}">
    <text>Uwaga, rozliczyć nadpłatę!</text>
  </threadedComment>
  <threadedComment ref="AO12" dT="2024-08-26T13:02:15.80" personId="{CCA805DB-13A0-C94F-9D9D-4DE93F84D174}" id="{99E64F12-3AA4-C144-8210-97D8CFF4F7A8}">
    <text>Od grudnia 1098,75</text>
  </threadedComment>
  <threadedComment ref="AT13" dT="2025-05-19T13:24:48.17" personId="{CCA805DB-13A0-C94F-9D9D-4DE93F84D174}" id="{98A5AE0C-6E1D-434C-B5F3-BA2F595EA5D2}">
    <text>Klient zrezygnował, jednak za maj jeszcze ¼ abonamentu  - info od K. Ponikły mail z 14.05.2025</text>
  </threadedComment>
  <threadedComment ref="AU13" dT="2024-12-30T08:59:49.89" personId="{CCA805DB-13A0-C94F-9D9D-4DE93F84D174}" id="{CCAC9F4E-3F57-9E49-A691-01100313DC2C}">
    <text>Do weryfikacji</text>
  </threadedComment>
  <threadedComment ref="AU13" dT="2025-04-16T07:37:41.00" personId="{CCA805DB-13A0-C94F-9D9D-4DE93F84D174}" id="{6DD2A218-35C5-954E-A83B-BE5BB5EF838A}" parentId="{CCAC9F4E-3F57-9E49-A691-01100313DC2C}">
    <text>Ostatnia fv 30.04</text>
  </threadedComment>
  <threadedComment ref="R14" dT="2023-01-04T12:18:34.47" personId="{155AE5DD-003B-8747-9D6A-B5FF6FB2392B}" id="{2B716A2B-8BB4-4246-B4D7-16777F968461}">
    <text>nowy user od 5.12.2022</text>
  </threadedComment>
  <threadedComment ref="AU14" dT="2025-02-12T15:54:44.37" personId="{CCA805DB-13A0-C94F-9D9D-4DE93F84D174}" id="{50E32657-8226-3744-A06C-48662A273979}">
    <text xml:space="preserve">Wypowiedzenie złożone 12.02
</text>
  </threadedComment>
  <threadedComment ref="AR16" dT="2025-02-11T08:27:18.66" personId="{CCA805DB-13A0-C94F-9D9D-4DE93F84D174}" id="{CFA90144-0503-9A47-8C86-84757C309498}">
    <text xml:space="preserve">Zmiana abonamentu i płatność z góry od 01.03 </text>
  </threadedComment>
  <threadedComment ref="AU16" dT="2025-02-12T15:54:44.37" personId="{CCA805DB-13A0-C94F-9D9D-4DE93F84D174}" id="{E51B30FA-B01E-D245-8B9C-2A3EBB1AE120}">
    <text xml:space="preserve">Wypowiedzenie złożone 21.02.2025
</text>
  </threadedComment>
  <threadedComment ref="AU17" dT="2024-11-28T14:45:57.78" personId="{CCA805DB-13A0-C94F-9D9D-4DE93F84D174}" id="{CF6BAF3E-0964-6349-ACD5-8BEE9A235C1A}">
    <text>Klient złożył wypowiedzenie w lutym, ostatnia fv w maju</text>
  </threadedComment>
  <threadedComment ref="AT18" dT="2024-10-30T14:54:50.85" personId="{CCA805DB-13A0-C94F-9D9D-4DE93F84D174}" id="{040E916C-DC1A-B349-93F3-93FB32A059CB}">
    <text>Abonament naliczany od 7 msc</text>
  </threadedComment>
  <threadedComment ref="AT18" dT="2025-05-05T10:46:31.15" personId="{CCA805DB-13A0-C94F-9D9D-4DE93F84D174}" id="{54C10F8E-2F3D-884F-BE8E-318A1CB5A96A}" parentId="{040E916C-DC1A-B349-93F3-93FB32A059CB}">
    <text>Klient zrezygnował</text>
  </threadedComment>
  <threadedComment ref="O19" dT="2022-10-03T11:04:04.73" personId="{155AE5DD-003B-8747-9D6A-B5FF6FB2392B}" id="{6B098231-C573-034C-BF0C-6C95B486C7A4}">
    <text>+500 zł poradnia dla dorosłych</text>
  </threadedComment>
  <threadedComment ref="AT20" dT="2025-03-12T12:13:57.04" personId="{CCA805DB-13A0-C94F-9D9D-4DE93F84D174}" id="{8EA5C376-3850-6F41-B594-7F2119598248}">
    <text>Wypowiedzenie - Ostatnia fv w kwietniu</text>
  </threadedComment>
  <threadedComment ref="AJ22" dT="2024-07-29T08:29:02.90" personId="{CCA805DB-13A0-C94F-9D9D-4DE93F84D174}" id="{9FAD4E5A-173C-674F-9116-352F307E3EDB}">
    <text>ANEKS zmiana stawki na 1100 i fakturowanie na początku msc (z góry)</text>
  </threadedComment>
  <threadedComment ref="AS23" dT="2025-03-12T12:13:57.04" personId="{CCA805DB-13A0-C94F-9D9D-4DE93F84D174}" id="{F7A67D6F-3E17-2B41-B96A-DFB393CB1A96}">
    <text>Wypowiedzenie - Ostatnia fv w marcu</text>
  </threadedComment>
  <threadedComment ref="L24" dT="2022-08-08T15:31:56.92" personId="{9E47FCA0-5032-E44D-92CE-B996C84DAC89}" id="{484F3C6B-0007-E14E-9CD8-14B721A3A080}">
    <text>przez 12 miesięcy, potem 908 zł</text>
  </threadedComment>
  <threadedComment ref="AS25" dT="2025-03-05T14:50:40.56" personId="{CCA805DB-13A0-C94F-9D9D-4DE93F84D174}" id="{61800963-23DD-B845-AD6F-FABA70EA0D7B}">
    <text>Ostatnia fv w marcu</text>
  </threadedComment>
  <threadedComment ref="AI26" dT="2024-06-27T13:01:54.27" personId="{CCA805DB-13A0-C94F-9D9D-4DE93F84D174}" id="{806D44E5-F3BD-F44E-B4E7-37D28591E9FC}">
    <text xml:space="preserve">Dodatkowy Login Zgodnie z aneksem od Gosi z 11.06
</text>
  </threadedComment>
  <threadedComment ref="AL26" dT="2024-09-24T14:14:09.76" personId="{CCA805DB-13A0-C94F-9D9D-4DE93F84D174}" id="{960C5F71-4619-CC4D-B4CF-E08D45852849}">
    <text xml:space="preserve">Dodatkowe konto, zgłoszenie od K. Ponikły mailowo 24.09
</text>
  </threadedComment>
  <threadedComment ref="AP26" dT="2025-01-30T08:45:23.91" personId="{CCA805DB-13A0-C94F-9D9D-4DE93F84D174}" id="{D87C20BD-010F-BE44-8DFB-E1F480934165}">
    <text xml:space="preserve">Zgłoszenie Karoliny Ponikły (mail z 29.01)
</text>
  </threadedComment>
  <threadedComment ref="AP26" dT="2025-01-30T08:45:57.40" personId="{CCA805DB-13A0-C94F-9D9D-4DE93F84D174}" id="{84E9E933-1A2B-A643-9B5F-13171ED9F64E}" parentId="{D87C20BD-010F-BE44-8DFB-E1F480934165}">
    <text xml:space="preserve">Drugie konto : ZAM-557
</text>
  </threadedComment>
  <threadedComment ref="AQ26" dT="2025-01-30T08:45:23.91" personId="{CCA805DB-13A0-C94F-9D9D-4DE93F84D174}" id="{998D3F06-C955-5B4B-9696-EEA66DB79DD2}">
    <text xml:space="preserve">Zgłoszenie Karoliny Ponikły (mail z 29.01)
</text>
  </threadedComment>
  <threadedComment ref="AQ26" dT="2025-01-30T08:45:57.40" personId="{CCA805DB-13A0-C94F-9D9D-4DE93F84D174}" id="{6B58BDAF-7ED7-FB4A-80F8-33633D11D4F9}" parentId="{998D3F06-C955-5B4B-9696-EEA66DB79DD2}">
    <text xml:space="preserve">Drugie konto : ZAM-557
</text>
  </threadedComment>
  <threadedComment ref="AS26" dT="2024-12-30T08:59:49.89" personId="{CCA805DB-13A0-C94F-9D9D-4DE93F84D174}" id="{4A584B6C-E9C0-3746-8D04-47BADC60DA8E}">
    <text>Ostatnia fv w marcu</text>
  </threadedComment>
  <threadedComment ref="F27" dT="2021-12-28T11:02:45.87" personId="{155AE5DD-003B-8747-9D6A-B5FF6FB2392B}" id="{A7783CBF-52E7-0C40-A9B0-FF176283A532}">
    <text>platnosc z gory za 12 miesiecy</text>
  </threadedComment>
  <threadedComment ref="AS27" dT="2025-02-25T14:15:29.57" personId="{CCA805DB-13A0-C94F-9D9D-4DE93F84D174}" id="{D786F6A3-3E6C-6C4D-B42B-BB4A73EACD3B}">
    <text>Wypowiedzenie z dnia 21.02.2025</text>
  </threadedComment>
  <threadedComment ref="N28" dT="2022-04-29T06:12:56.08" personId="{155AE5DD-003B-8747-9D6A-B5FF6FB2392B}" id="{FBBE20D8-5240-6D4F-ADB7-9217578D3602}">
    <text>Wystawic wdrożenie po 6 miesiącach</text>
  </threadedComment>
  <threadedComment ref="AS28" dT="2025-02-21T08:49:54.12" personId="{CCA805DB-13A0-C94F-9D9D-4DE93F84D174}" id="{A8E89848-92C8-5A4E-ABAD-43A0151D123F}">
    <text>Klient złożył wypowiedzenie, ostatnia fv w marcu</text>
  </threadedComment>
  <threadedComment ref="AS30" dT="2025-02-21T08:49:54.12" personId="{CCA805DB-13A0-C94F-9D9D-4DE93F84D174}" id="{4143031E-5475-1849-B21D-1EC62555F756}">
    <text>Klient złożył wypowiedzenie w lutym, do weryfikacji</text>
  </threadedComment>
  <threadedComment ref="AQ31" dT="2025-01-31T12:40:37.39" personId="{CCA805DB-13A0-C94F-9D9D-4DE93F84D174}" id="{83402CE8-D3D1-C74E-8D99-03C820EC601F}">
    <text>Ostatnia fv w lutym, wypowiedzenie z 31.01.2025</text>
  </threadedComment>
  <threadedComment ref="AR32" dT="2024-10-14T12:30:30.77" personId="{CCA805DB-13A0-C94F-9D9D-4DE93F84D174}" id="{1BB510ED-69D3-714C-B509-A5EE487A21E4}">
    <text>Wypowiedzenie złożone w 10.2024</text>
  </threadedComment>
  <threadedComment ref="AR32" dT="2024-11-18T12:20:35.41" personId="{CCA805DB-13A0-C94F-9D9D-4DE93F84D174}" id="{B14206FE-326D-534B-8389-2FD2DB2098D6}" parentId="{1BB510ED-69D3-714C-B509-A5EE487A21E4}">
    <text>Złożone ponownie w listopadzie</text>
  </threadedComment>
  <threadedComment ref="I33" dT="2022-03-31T10:31:41.93" personId="{155AE5DD-003B-8747-9D6A-B5FF6FB2392B}" id="{C15ADBF5-6CD3-6B4E-AE11-DA237795DC9F}">
    <text>Karolina Hyza, 31.03.2022 jedno dodatkowe konto 159 zl</text>
  </threadedComment>
  <threadedComment ref="Q33" dT="2022-12-28T15:45:23.88" personId="{155AE5DD-003B-8747-9D6A-B5FF6FB2392B}" id="{AAA29239-F144-744E-90E7-4C9ACCA8F155}">
    <text>nowy user od 29.11.2022</text>
  </threadedComment>
  <threadedComment ref="Q33" dT="2022-12-29T10:31:02.69" personId="{155AE5DD-003B-8747-9D6A-B5FF6FB2392B}" id="{214FDC51-3B4D-A440-BB18-9A9CCC5AE545}" parentId="{AAA29239-F144-744E-90E7-4C9ACCA8F155}">
    <text>Zniżka -10% ze wzgldu na awarie</text>
  </threadedComment>
  <threadedComment ref="AR33" dT="2024-11-28T14:45:57.78" personId="{CCA805DB-13A0-C94F-9D9D-4DE93F84D174}" id="{BDA0E555-4D9E-A249-9B8C-8FF9DEA14B6B}">
    <text>Klient złożył wypowiedzenie w listopadzie, ostatnia fv w lutym</text>
  </threadedComment>
  <threadedComment ref="AP34" dT="2024-11-04T10:43:36.52" personId="{CCA805DB-13A0-C94F-9D9D-4DE93F84D174}" id="{5C4BC434-42B6-CF44-A57B-A6650BB89380}">
    <text>Ostatnia fv w styczniu</text>
  </threadedComment>
  <threadedComment ref="AM35" dT="2024-08-09T12:40:12.61" personId="{CCA805DB-13A0-C94F-9D9D-4DE93F84D174}" id="{48DAD31E-4379-BE49-AE72-11703897E6B0}">
    <text>Złożyli wypowiedzenie w lipcu, ostatnia fv 10.2024 - weryfikować u Izy</text>
  </threadedComment>
  <threadedComment ref="AM35" dT="2024-11-22T10:15:14.40" personId="{CCA805DB-13A0-C94F-9D9D-4DE93F84D174}" id="{F17BE064-E906-3241-8015-EBFF9B13ABA2}" parentId="{48DAD31E-4379-BE49-AE72-11703897E6B0}">
    <text>Aktualizacja - klient zostaje</text>
  </threadedComment>
  <threadedComment ref="K36" dT="2022-06-17T11:28:54.51" personId="{155AE5DD-003B-8747-9D6A-B5FF6FB2392B}" id="{B52E7A38-6C2E-F941-941D-5947755406FB}">
    <text>Wystawiamy w fakturach za telco</text>
  </threadedComment>
  <threadedComment ref="AJ37" dT="2024-07-30T07:48:34.89" personId="{CCA805DB-13A0-C94F-9D9D-4DE93F84D174}" id="{63A2B638-257D-5748-904E-7EC66DA9A43A}">
    <text xml:space="preserve">Faktura na Scanmed
</text>
  </threadedComment>
  <threadedComment ref="AO37" dT="2024-09-30T12:17:38.07" personId="{CCA805DB-13A0-C94F-9D9D-4DE93F84D174}" id="{1047ED95-7B9D-3B4B-B1A5-77D5EB733AB3}">
    <text>Ostatnia FV grudzień</text>
  </threadedComment>
  <threadedComment ref="AP38" dT="2024-11-29T12:30:53.36" personId="{CCA805DB-13A0-C94F-9D9D-4DE93F84D174}" id="{A7DB625A-833C-3043-86F3-7A50CF6E69F6}">
    <text xml:space="preserve">ostania fv w grudniu
</text>
  </threadedComment>
  <threadedComment ref="F39" dT="2022-02-28T14:09:47.07" personId="{4F81A39D-47FD-0746-83E3-A23B7BA8FEE7}" id="{52620AB8-E9A1-7944-A198-021FC8C09DE9}">
    <text>nowe dane: OPTOVET sp. z o. o., ul. Poprzeczna 72, 51-167 Wrocław, NIP 8952237825</text>
  </threadedComment>
  <threadedComment ref="AP39" dT="2024-11-27T13:32:09.12" personId="{CCA805DB-13A0-C94F-9D9D-4DE93F84D174}" id="{392960D7-E0C8-0645-8054-650B4E1D48E0}">
    <text xml:space="preserve">ostatnia fv w grudniu, klient złożył wypowiedzenie </text>
  </threadedComment>
  <threadedComment ref="AH40" dT="2024-05-07T10:21:35.78" personId="{CCA805DB-13A0-C94F-9D9D-4DE93F84D174}" id="{3D12B392-90AD-6146-9194-17C42FD85DB7}">
    <text>Obniżka abonamentu na 6 miesięcy - 452,20 zł, zgodnie z aneksem</text>
  </threadedComment>
  <threadedComment ref="AN40" dT="2024-09-26T08:31:50.75" personId="{CCA805DB-13A0-C94F-9D9D-4DE93F84D174}" id="{7303FFC4-EC42-774C-8A1D-3CBD885A5AA9}">
    <text>Zgodnie z Aneksem od 01.11 powrót do pełnego abonamentu</text>
  </threadedComment>
  <threadedComment ref="AP40" dT="2024-12-02T12:37:43.21" personId="{CCA805DB-13A0-C94F-9D9D-4DE93F84D174}" id="{0844AD5A-7A33-7A4A-90C0-3FEE0824DDCC}">
    <text>Ostania fv w grudniu</text>
  </threadedComment>
  <threadedComment ref="L41" dT="2022-07-11T09:24:04.87" personId="{155AE5DD-003B-8747-9D6A-B5FF6FB2392B}" id="{39C754CE-5EC1-C74D-97A7-277F71A682D5}">
    <text>dodac do automatycznych</text>
  </threadedComment>
  <threadedComment ref="AL41" dT="2024-09-27T11:28:26.29" personId="{CCA805DB-13A0-C94F-9D9D-4DE93F84D174}" id="{C311766F-32F9-8742-A065-4ECB2935B5DC}">
    <text>Przez 3 msc 99 zł</text>
  </threadedComment>
  <threadedComment ref="AO41" dT="2024-08-27T09:42:21.98" personId="{CCA805DB-13A0-C94F-9D9D-4DE93F84D174}" id="{D02CE754-F3BA-C342-A380-B9808E8774C9}">
    <text>Złożyli wypowiedzenie 26.08 - weryfikacja u Izy</text>
  </threadedComment>
  <threadedComment ref="AO41" dT="2024-10-29T10:10:17.47" personId="{CCA805DB-13A0-C94F-9D9D-4DE93F84D174}" id="{A3977312-202B-DC4B-844C-7D516A5B8976}" parentId="{D02CE754-F3BA-C342-A380-B9808E8774C9}">
    <text>Ostania fv w listopadzie</text>
  </threadedComment>
  <threadedComment ref="AM43" dT="2024-10-30T09:27:28.66" personId="{CCA805DB-13A0-C94F-9D9D-4DE93F84D174}" id="{59191915-0BE9-D24E-A3C4-4B2B6670C34B}">
    <text xml:space="preserve">Ostatnia fv w październiku
</text>
  </threadedComment>
  <threadedComment ref="AE45" dT="2024-02-27T11:16:12.33" personId="{CCA805DB-13A0-C94F-9D9D-4DE93F84D174}" id="{2B03D74E-AA2F-DC49-AD0D-58AEBF9DED45}">
    <text>Faktura już opłacona, rozliczyć nadpłatę</text>
  </threadedComment>
  <threadedComment ref="AM45" dT="2024-10-25T10:20:08.61" personId="{CCA805DB-13A0-C94F-9D9D-4DE93F84D174}" id="{81387DB3-5F8D-3B40-B7AE-7FD8BBDD8BAB}">
    <text xml:space="preserve">Rozliczyć nadpłatę
</text>
  </threadedComment>
  <threadedComment ref="AN45" dT="2024-08-01T05:56:50.51" personId="{CCA805DB-13A0-C94F-9D9D-4DE93F84D174}" id="{6FDBC147-A34C-894B-9637-9902BF93B7E4}">
    <text xml:space="preserve">Złożyli wypowiedzenie w lipcu - do weryfikacji u Izy
</text>
  </threadedComment>
  <threadedComment ref="AL47" dT="2024-05-22T10:26:50.78" personId="{CCA805DB-13A0-C94F-9D9D-4DE93F84D174}" id="{88C6FDC2-6406-8143-9A68-5A219A8CD8F4}">
    <text>Złożyli wypowiedzenie w maju</text>
  </threadedComment>
  <threadedComment ref="AL48" dT="2024-05-22T10:26:50.78" personId="{CCA805DB-13A0-C94F-9D9D-4DE93F84D174}" id="{A9FE6305-ECE6-E44F-9E8F-02789E3C6B95}">
    <text>Złożyli wypowiedzenie w maju</text>
  </threadedComment>
  <threadedComment ref="AL49" dT="2024-05-22T10:26:50.78" personId="{CCA805DB-13A0-C94F-9D9D-4DE93F84D174}" id="{BE3F17D9-B9C2-3041-81C0-414538B41877}">
    <text>Złożyli wypowiedzenie w maju</text>
  </threadedComment>
  <threadedComment ref="AL50" dT="2024-05-22T10:26:50.78" personId="{CCA805DB-13A0-C94F-9D9D-4DE93F84D174}" id="{D421EC11-75A0-8840-BEAE-563800081D70}">
    <text>Złożyli wypowiedzenie w maju</text>
  </threadedComment>
  <threadedComment ref="AL51" dT="2024-05-22T10:26:50.78" personId="{CCA805DB-13A0-C94F-9D9D-4DE93F84D174}" id="{187597D3-4BB2-5445-ACD2-8ACC61701C89}">
    <text>Złożyli wypowiedzenie w maju</text>
  </threadedComment>
  <threadedComment ref="AJ54" dT="2024-06-27T08:26:56.01" personId="{CCA805DB-13A0-C94F-9D9D-4DE93F84D174}" id="{A1B84BE4-CD4C-534B-BAF0-5301680347BB}">
    <text>W maju złożyli wypowiedzenie - weryfikacja</text>
  </threadedComment>
  <threadedComment ref="H56" dT="2022-03-02T08:39:52.28" personId="{155AE5DD-003B-8747-9D6A-B5FF6FB2392B}" id="{3734F4B4-A634-BE4B-9081-C277E6A55F93}">
    <text xml:space="preserve">Cześć, 
Stomatologia Sypień zwiększyła liczbę użytkowników Aplikacji o jedno dodatkowe konto. 
Bardzo proszę o uwzględnienie dodatkowej opłaty w miesięcznym abonamencie - 159 zł netto/miesiąc. 
Dziękuję i miłego dnia!
Karolina Ponikły
</text>
  </threadedComment>
  <threadedComment ref="L58" dT="2022-07-14T13:24:48.13" personId="{155AE5DD-003B-8747-9D6A-B5FF6FB2392B}" id="{856B3EC7-A9CF-E348-843F-BCDC50474BF9}">
    <text>przez pierwsze 24 miesiące z upustem: 1093,20 zł netto
po 24 miesiącach kwota docelowa: 1261,80 zł netto</text>
  </threadedComment>
  <threadedComment ref="R58" dT="2023-03-03T14:23:22.04" personId="{9E47FCA0-5032-E44D-92CE-B996C84DAC89}" id="{A414CB48-C33B-144B-8C36-4FF4FDC6BF26}">
    <text>Wyjaśniana była awaria, nie nasza wina więc dalej wystawiamy</text>
  </threadedComment>
  <threadedComment ref="AH59" dT="2024-05-17T10:56:21.77" personId="{CCA805DB-13A0-C94F-9D9D-4DE93F84D174}" id="{965BC709-43B1-494B-B6E8-34051C0D3456}">
    <text>Ostatnia fv w maju, wypowiedzenie</text>
  </threadedComment>
  <threadedComment ref="AH60" dT="2024-03-28T15:48:07.98" personId="{CCA805DB-13A0-C94F-9D9D-4DE93F84D174}" id="{5215DFF4-A230-F94D-BCE8-CF48CF049F84}">
    <text>Wypowiedzenie - ostatnia fv w kwetniu</text>
  </threadedComment>
  <threadedComment ref="AG61" dT="2024-04-11T10:26:46.43" personId="{CCA805DB-13A0-C94F-9D9D-4DE93F84D174}" id="{A49731F1-3A6F-934A-A8AA-A59E56A4C8E5}">
    <text>Ostatnia FV w kwietniu, złożyli wypowiedzenie</text>
  </threadedComment>
  <threadedComment ref="AH61" dT="2024-03-28T15:48:07.98" personId="{CCA805DB-13A0-C94F-9D9D-4DE93F84D174}" id="{B499EF35-96DB-3E42-B0C9-120B6CE72193}">
    <text>Wypowiedzenie - ostatnia fv w kwetniu</text>
  </threadedComment>
  <threadedComment ref="H62" dT="2022-03-09T14:18:13.91" personId="{155AE5DD-003B-8747-9D6A-B5FF6FB2392B}" id="{8DABC58E-8E99-394D-B566-A10937C0BF0D}">
    <text>Od: Aleksandra Dziekańska &lt;aleksandra.dziekanska@medidesk.com&gt;
Wysłane: poniedziałek, 14 lutego 2022 14:49
Do: Gabriela Lemauviel &lt;gabriela.lemauviel@medidesk.com&gt;; Katarzyna Jaryczewska &lt;katarzyna.jaryczewska@medidesk.com&gt;
DW: Administration &lt;administration@medidesk.com&gt;
Temat: Max Hemp: - nowe konto
Cześć, 
Placówka Max Hemp zdecydowała się na nowe konto do logowania dla rejestratorki, w związku z tym prośba o dodanie 159zł netto/ miesiąc do faktury.
Dziękuję 🙂 </text>
  </threadedComment>
  <threadedComment ref="AB63" dT="2023-10-31T08:00:41.27" personId="{CCA805DB-13A0-C94F-9D9D-4DE93F84D174}" id="{3EE3E03B-6FFF-B443-9E8D-BB388588653D}">
    <text>ZAM-237 dodatkowe dwa konta</text>
  </threadedComment>
  <threadedComment ref="AD63" dT="2023-12-22T13:07:17.33" personId="{CCA805DB-13A0-C94F-9D9D-4DE93F84D174}" id="{71FBDF2C-27EA-4749-81EB-11EAC442C013}">
    <text>Od stycznia normalnie 716,45</text>
  </threadedComment>
  <threadedComment ref="AF63" dT="2024-02-28T14:40:56.53" personId="{CCA805DB-13A0-C94F-9D9D-4DE93F84D174}" id="{46B91D4D-3E46-2246-A027-06D72CEEF9A9}">
    <text xml:space="preserve">Ostatnia fv w marcu, wypowiedzenie </text>
  </threadedComment>
  <threadedComment ref="AA64" dT="2023-09-28T12:11:49.63" personId="{CCA805DB-13A0-C94F-9D9D-4DE93F84D174}" id="{F2620687-6212-874E-BEA6-4036A5BC962B}">
    <text>+1517,5 za 3 rate wdrożenia</text>
  </threadedComment>
  <threadedComment ref="AG65" dT="2024-03-28T15:48:07.98" personId="{CCA805DB-13A0-C94F-9D9D-4DE93F84D174}" id="{24F7F2D3-2F95-1044-A813-C013A6C187F1}">
    <text>Wypowiedzenie - ostatnia fv w marcu</text>
  </threadedComment>
  <threadedComment ref="AF66" dT="2024-01-17T09:35:58.05" personId="{CCA805DB-13A0-C94F-9D9D-4DE93F84D174}" id="{19355406-4DFE-8140-9AC1-515FFE3BC029}">
    <text xml:space="preserve">Ostania fv w marcu. Złożyli wypowiedzenie (Do weryfikacji u Izy)
</text>
  </threadedComment>
  <threadedComment ref="AE67" dT="2024-07-24T13:06:10.51" personId="{CCA805DB-13A0-C94F-9D9D-4DE93F84D174}" id="{4EE55947-7ECF-E743-8820-5E8F351D7A85}">
    <text xml:space="preserve">dodane do wizyt domowych - nie rozdzielamy </text>
  </threadedComment>
  <threadedComment ref="V68" dT="2023-05-02T08:55:18.18" personId="{9E47FCA0-5032-E44D-92CE-B996C84DAC89}" id="{86B4C4E1-C3A4-2C48-97C3-A91B96234334}">
    <text>Upsell o jedno konto Białystok</text>
  </threadedComment>
  <threadedComment ref="AE68" dT="2024-01-17T08:52:11.56" personId="{CCA805DB-13A0-C94F-9D9D-4DE93F84D174}" id="{26F51806-E4C7-6845-A91C-A7708EC70809}">
    <text>Ostania fv w lutym - złożyli wypowiedzenie</text>
  </threadedComment>
  <threadedComment ref="AD69" dT="2024-01-25T10:15:44.71" personId="{CCA805DB-13A0-C94F-9D9D-4DE93F84D174}" id="{3A3A3371-AFDE-ED41-AD73-FA395F01429F}">
    <text>Ostania fv w styczniu, wypowiedzieli umowę</text>
  </threadedComment>
  <threadedComment ref="AD71" dT="2023-10-25T12:47:09.36" personId="{CCA805DB-13A0-C94F-9D9D-4DE93F84D174}" id="{25405691-3C0D-A149-BC62-4E6F2FC2D586}">
    <text>Wypowiedzieli umowę, ostatnia fv 31/01</text>
  </threadedComment>
  <threadedComment ref="AC74" dT="2023-12-08T09:01:54.61" personId="{CCA805DB-13A0-C94F-9D9D-4DE93F84D174}" id="{4AD4EAD7-87D1-9A42-BC37-3D47623C6B42}">
    <text xml:space="preserve">Ostania fv w 11.2023
</text>
  </threadedComment>
  <threadedComment ref="AC75" dT="2023-12-12T12:00:01.68" personId="{CCA805DB-13A0-C94F-9D9D-4DE93F84D174}" id="{3BE5F3E3-B17A-F44F-A0E2-0B6CBE1B2316}">
    <text>Fakturowanie CDT Medicus Lublin</text>
  </threadedComment>
  <threadedComment ref="AC77" dT="2023-11-23T14:32:29.63" personId="{CCA805DB-13A0-C94F-9D9D-4DE93F84D174}" id="{9160FBFB-BFCE-5B4D-986D-617B7882A623}">
    <text>Ostatnia fv w listopadzie</text>
  </threadedComment>
  <threadedComment ref="H80" dT="2022-03-31T14:12:34.68" personId="{155AE5DD-003B-8747-9D6A-B5FF6FB2392B}" id="{582B7D48-72D7-3C4B-BF94-5B4EB6D96064}">
    <text>znizka ustalona z iza</text>
  </threadedComment>
  <threadedComment ref="J80" dT="2022-06-01T08:42:55.61" personId="{155AE5DD-003B-8747-9D6A-B5FF6FB2392B}" id="{129CEA71-5B2D-FF44-A3BE-31EBF0AC3A8E}">
    <text>ustalone z iza</text>
  </threadedComment>
  <threadedComment ref="X85" dT="2023-08-07T14:07:01.84" personId="{CCA805DB-13A0-C94F-9D9D-4DE93F84D174}" id="{DF82E842-B71D-BD40-9ABD-5E06DFBE2ADD}">
    <text>Wypowiedzenie umowy, ostania fv we wrześniu</text>
  </threadedComment>
  <threadedComment ref="Y85" dT="2023-08-07T14:07:01.84" personId="{CCA805DB-13A0-C94F-9D9D-4DE93F84D174}" id="{B6F8CAE1-D3C8-EB42-837A-83C5A651D4FB}">
    <text>Wypowiedzenie umowy, ostania fv we wrześniu</text>
  </threadedComment>
  <threadedComment ref="X86" dT="2023-08-07T14:07:01.84" personId="{CCA805DB-13A0-C94F-9D9D-4DE93F84D174}" id="{00837897-B3A7-0442-AF65-17FB2DEA1EDA}">
    <text>Wypowiedzenie umowy, ostania fv we wrześniu</text>
  </threadedComment>
  <threadedComment ref="Y86" dT="2023-08-07T14:07:01.84" personId="{CCA805DB-13A0-C94F-9D9D-4DE93F84D174}" id="{5DEBDBA9-7BEA-C246-86F9-DEA3974B32ED}">
    <text>Wypowiedzenie umowy, ostania fv we wrześniu</text>
  </threadedComment>
  <threadedComment ref="X87" dT="2023-08-07T14:07:01.84" personId="{CCA805DB-13A0-C94F-9D9D-4DE93F84D174}" id="{91E2DFA9-1ACB-E744-B0FF-97576CDD304B}">
    <text>Wypowiedzenie umowy, ostania fv we wrześniu</text>
  </threadedComment>
  <threadedComment ref="Y87" dT="2023-08-07T14:07:01.84" personId="{CCA805DB-13A0-C94F-9D9D-4DE93F84D174}" id="{A007D6E8-62F3-CB4E-9754-4286F7C720F0}">
    <text>Wypowiedzenie umowy, ostania fv we wrześniu</text>
  </threadedComment>
  <threadedComment ref="X88" dT="2023-08-07T14:07:01.84" personId="{CCA805DB-13A0-C94F-9D9D-4DE93F84D174}" id="{932DB7E0-C45A-3547-A6D5-F8758FBEBDBC}">
    <text>Wypowiedzenie umowy, ostania fv we wrześniu</text>
  </threadedComment>
  <threadedComment ref="Y88" dT="2023-08-07T14:07:01.84" personId="{CCA805DB-13A0-C94F-9D9D-4DE93F84D174}" id="{2066925B-2781-9E4C-9637-5851688688E3}">
    <text>Wypowiedzenie umowy, ostania fv we wrześniu</text>
  </threadedComment>
  <threadedComment ref="R89" dT="2023-01-27T09:38:43.16" personId="{CFA51334-C468-D442-B55B-BED561EC2CD5}" id="{AC804A90-6214-894A-83CD-80C39B8216CC}">
    <text>OD 01.01.23 CESJA - ZMIANA NA BELGRAVIA NIP: 9592055978</text>
  </threadedComment>
  <threadedComment ref="AA89" dT="2023-10-27T09:05:25.55" personId="{CCA805DB-13A0-C94F-9D9D-4DE93F84D174}" id="{8BAB7649-82BA-684A-A8B6-34680C29A1AE}">
    <text xml:space="preserve">Koniec umowy we wrześniu
</text>
  </threadedComment>
  <threadedComment ref="K90" dT="2022-06-17T11:37:56.23" personId="{155AE5DD-003B-8747-9D6A-B5FF6FB2392B}" id="{0C5CAC90-3D2E-CD40-A4E5-853B78BA6C05}">
    <text>po 6 miesiacach 1000 netto</text>
  </threadedComment>
  <threadedComment ref="F91" dT="2022-01-31T14:21:35.13" personId="{155AE5DD-003B-8747-9D6A-B5FF6FB2392B}" id="{1141D4FD-E160-3647-9A4B-FCCA1E473411}">
    <text>znizka od izy</text>
  </threadedComment>
  <threadedComment ref="T92" dT="2023-04-05T08:43:33.52" personId="{9E47FCA0-5032-E44D-92CE-B996C84DAC89}" id="{8A0F19B4-1422-E549-80C8-B4AF35B7D752}">
    <text>Zniżka -20% awaria połączeń</text>
  </threadedComment>
  <threadedComment ref="J96" dT="2022-05-26T14:43:38.02" personId="{155AE5DD-003B-8747-9D6A-B5FF6FB2392B}" id="{3DF3CA6D-C7D5-894B-B4D4-29075EEF3B04}">
    <text>dodatkowe konto Karolina Ponikły</text>
  </threadedComment>
  <threadedComment ref="J99" dT="2022-05-24T12:16:25.25" personId="{155AE5DD-003B-8747-9D6A-B5FF6FB2392B}" id="{10C748B1-0A44-2040-8BDA-E9940DA24FD9}">
    <text>dodatkowe konto Karolina Ponikly 23.05.2022</text>
  </threadedComment>
  <threadedComment ref="Q105" dT="2022-12-29T10:29:14.33" personId="{155AE5DD-003B-8747-9D6A-B5FF6FB2392B}" id="{B26B02A6-6A24-CA43-8737-40C4A3249989}">
    <text>zniżka ze względu na awarie</text>
  </threadedComment>
  <threadedComment ref="T106" dT="2023-03-29T12:19:35.56" personId="{9E47FCA0-5032-E44D-92CE-B996C84DAC89}" id="{DD661895-FBE8-1D44-9AD0-53BEDD54C1C3}">
    <text>Wystawiamy 100 zł do końca maja, potem normalnie 1000</text>
  </threadedComment>
  <threadedComment ref="U106" dT="2023-03-29T12:19:35.56" personId="{9E47FCA0-5032-E44D-92CE-B996C84DAC89}" id="{C1E3BFAD-7B50-DE49-B8B5-B6C934707537}">
    <text>Wystawiamy 100 zł do końca maja, potem normalnie 1000</text>
  </threadedComment>
  <threadedComment ref="V106" dT="2023-03-29T12:19:35.56" personId="{9E47FCA0-5032-E44D-92CE-B996C84DAC89}" id="{0E17754A-6F32-3E40-A67F-AE1940EFDEA3}">
    <text>Wystawiamy 100 zł do końca maja, potem normalnie 1000</text>
  </threadedComment>
  <threadedComment ref="V107" dT="2023-03-29T13:16:12.43" personId="{9E47FCA0-5032-E44D-92CE-B996C84DAC89}" id="{0E7EA3D2-5947-1D45-8F29-5F5E11997FC6}">
    <text>Uważać bo w automatycznych jest przesunięta data omyłkowo</text>
  </threadedComment>
  <threadedComment ref="V107" dT="2023-04-06T12:37:28.74" personId="{9E47FCA0-5032-E44D-92CE-B996C84DAC89}" id="{5F085B88-21A5-7149-9C74-6223476BBE62}" parentId="{0E7EA3D2-5947-1D45-8F29-5F5E11997FC6}">
    <text>Zmiana na VoIP</text>
  </threadedComment>
  <threadedComment ref="I110" dT="2022-05-02T09:55:13.81" personId="{155AE5DD-003B-8747-9D6A-B5FF6FB2392B}" id="{12C09628-8D8F-0144-B508-857DB170FCF8}">
    <text>ustalone z izą</text>
  </threadedComment>
  <threadedComment ref="L112" dT="2022-06-17T13:02:14.37" personId="{155AE5DD-003B-8747-9D6A-B5FF6FB2392B}" id="{F67123A5-8D69-3948-9B30-9F56547E49A6}">
    <text>nowe dane, mail z 8.06.2022 od a.zielonka@sanatoriummarta.pl</text>
  </threadedComment>
  <threadedComment ref="L116" dT="2022-06-17T11:39:20.59" personId="{155AE5DD-003B-8747-9D6A-B5FF6FB2392B}" id="{C2EE6D6A-527E-DD4C-A7BC-7620C92F6803}">
    <text>Wystawiamy w telco</text>
  </threadedComment>
  <threadedComment ref="I118" dT="2022-04-29T11:33:06.86" personId="{155AE5DD-003B-8747-9D6A-B5FF6FB2392B}" id="{D8E22521-4113-F143-A9E1-DD6CE8E59535}">
    <text>obniżka na 6 miesiecy</text>
  </threadedComment>
  <threadedComment ref="K118" dT="2022-06-29T12:51:05.86" personId="{4F81A39D-47FD-0746-83E3-A23B7BA8FEE7}" id="{B8719FAF-84C0-1749-A259-A23C43A9F51F}">
    <text>wystawić 2 FV w wfirmie</text>
  </threadedComment>
  <threadedComment ref="L123" dT="2022-07-18T14:44:38.82" personId="{155AE5DD-003B-8747-9D6A-B5FF6FB2392B}" id="{12A10F79-E785-7C49-8CB4-457A9CA1C531}">
    <text>jednorazowa znizka cyprian 15.07.2022</text>
  </threadedComment>
  <threadedComment ref="F124" dT="2022-02-03T09:04:58.31" personId="{155AE5DD-003B-8747-9D6A-B5FF6FB2392B}" id="{CC0FFC4E-408F-8A4D-82E2-24F3D14BF118}">
    <text>aneks na nowa wartosc abonamentu</text>
  </threadedComment>
  <threadedComment ref="K128" dT="2022-07-05T12:53:27.63" personId="{155AE5DD-003B-8747-9D6A-B5FF6FB2392B}" id="{E909968C-0FB6-3345-B22F-6EFC0BC24A8F}">
    <text>obniżenie abonamentu na 800 zł brutto do 31.12.2022</text>
  </threadedComment>
  <threadedComment ref="L128" dT="2022-06-29T08:52:18.61" personId="{4F81A39D-47FD-0746-83E3-A23B7BA8FEE7}" id="{0DDC10F6-7A06-7F49-8A93-0E79F1F97870}">
    <text>obniżenie abonamentu na 800 zł brutto do 31.12.2022</text>
  </threadedComment>
  <threadedComment ref="L128" dT="2022-07-14T12:53:13.20" personId="{155AE5DD-003B-8747-9D6A-B5FF6FB2392B}" id="{FCB38741-4C95-274D-8FB9-254B2BA68DCF}" parentId="{0DDC10F6-7A06-7F49-8A93-0E79F1F97870}">
    <text>Zoabczymy na czym stanie bo mają mieć za 0 do końca pazdziernika</text>
  </threadedComment>
  <threadedComment ref="F129" dT="2021-12-28T11:03:30.31" personId="{155AE5DD-003B-8747-9D6A-B5FF6FB2392B}" id="{0E1D937A-C280-804E-B586-2A27DD4A6CF0}">
    <text>platnosc z gory na 12 miesiecy</text>
  </threadedComment>
  <threadedComment ref="P130" dT="2022-10-28T08:23:15.21" personId="{155AE5DD-003B-8747-9D6A-B5FF6FB2392B}" id="{FA0696D1-C5D8-524A-94D6-777E0980073F}">
    <text>przejście na Voip</text>
  </threadedComment>
  <threadedComment ref="F132" dT="2022-01-14T06:58:59.88" personId="{155AE5DD-003B-8747-9D6A-B5FF6FB2392B}" id="{654D572F-B770-E14F-806D-6DC40C1B5E5F}">
    <text>Nowe dane:
Specjalistyczna Poradnia Lekarska Alicja Karney Sp.zoo
ul. Rydygiera 13
01-793 Warszawa
NIP 5252817967, Regon - 385752010
KRS - 0000833290</text>
  </threadedComment>
  <threadedComment ref="O132" dT="2022-10-04T07:48:24.28" personId="{155AE5DD-003B-8747-9D6A-B5FF6FB2392B}" id="{30D2F569-2F38-8647-B3FB-497A2196A7F6}">
    <text>ustalic z Izą, czy wystawiay czy wylaczamy</text>
  </threadedComment>
  <threadedComment ref="J134" dT="2022-05-31T23:53:03.44" personId="{155AE5DD-003B-8747-9D6A-B5FF6FB2392B}" id="{71018561-B42E-6D43-A59D-528E985F3063}">
    <text>sprawdzic w umowie</text>
  </threadedComment>
  <threadedComment ref="L137" dT="2022-08-31T11:17:57.91" personId="{155AE5DD-003B-8747-9D6A-B5FF6FB2392B}" id="{35D78D3A-418B-5D42-BEA8-E037789A13EA}">
    <text>korekta na 0 zł</text>
  </threadedComment>
  <threadedComment ref="M138" dT="2022-08-08T15:36:19.48" personId="{9E47FCA0-5032-E44D-92CE-B996C84DAC89}" id="{0B9D28E3-05D6-0A4B-A1FE-A0C2093D11A8}">
    <text>Od kiedy rezygnacja?</text>
  </threadedComment>
  <threadedComment ref="F139" dT="2021-11-29T14:43:43.27" personId="{155AE5DD-003B-8747-9D6A-B5FF6FB2392B}" id="{97D3621C-28F2-2045-924D-D732475CEB04}">
    <text>zgłoszenie od Piotra Palicy 29.11.2021</text>
  </threadedComment>
  <threadedComment ref="G139" dT="2021-11-29T14:43:43.27" personId="{155AE5DD-003B-8747-9D6A-B5FF6FB2392B}" id="{F1165379-6C58-394B-9A78-E2106E24C126}">
    <text>zgłoszenie od Bartka zielisnkiego 8.02.2022</text>
  </threadedComment>
  <threadedComment ref="F142" dT="2022-01-18T09:06:38.75" personId="{155AE5DD-003B-8747-9D6A-B5FF6FB2392B}" id="{2A70E741-6FBE-3F4A-8F0F-F5B113D17309}">
    <text>Nie wystawiac, ustalone z iza</text>
  </threadedComment>
  <threadedComment ref="G142" dT="2022-01-18T09:06:38.75" personId="{155AE5DD-003B-8747-9D6A-B5FF6FB2392B}" id="{9A2FCBCA-6F51-E14E-8394-35FBA7933A15}">
    <text>Nie wystawiac, ustalone z iza</text>
  </threadedComment>
  <threadedComment ref="G142" dT="2022-03-02T08:11:10.53" personId="{155AE5DD-003B-8747-9D6A-B5FF6FB2392B}" id="{8D90F06B-2895-4244-B5F9-ED87E7F768E8}" parentId="{9A2FCBCA-6F51-E14E-8394-35FBA7933A15}">
    <text>ustalone z Danielem</text>
  </threadedComment>
  <threadedComment ref="F143" dT="2022-02-28T14:16:48.26" personId="{4F81A39D-47FD-0746-83E3-A23B7BA8FEE7}" id="{6C514631-4CB7-214D-B3D2-2E127550594C}">
    <text>nowe dane: AM MEDIC sp. z o. o. ul. Pokrzywno 26B, 61-315 Poznań, NIP 7812018749, REGON: 388401095</text>
  </threadedComment>
  <threadedComment ref="I144" dT="2022-04-28T20:04:13.35" personId="{155AE5DD-003B-8747-9D6A-B5FF6FB2392B}" id="{81B9EF95-0151-BD47-8B11-6953C38C26BB}">
    <text>ustalone z iza</text>
  </threadedComment>
  <threadedComment ref="H145" dT="2022-03-31T13:37:59.62" personId="{155AE5DD-003B-8747-9D6A-B5FF6FB2392B}" id="{CC2CB505-8AB0-1C42-B445-E8726EC69452}">
    <text>znizka 100%</text>
  </threadedComment>
  <threadedComment ref="I145" dT="2022-04-28T20:04:21.20" personId="{155AE5DD-003B-8747-9D6A-B5FF6FB2392B}" id="{07C077E3-FB33-2C47-911D-95579C8FD568}">
    <text>ustalone z iza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79C8-A7DE-B94E-AFC3-A27784646A8B}">
  <dimension ref="A1:BB159"/>
  <sheetViews>
    <sheetView zoomScale="97" zoomScaleNormal="55" workbookViewId="0">
      <pane xSplit="5" ySplit="1" topLeftCell="AN2" activePane="bottomRight" state="frozen"/>
      <selection pane="topRight" activeCell="E1" sqref="E1"/>
      <selection pane="bottomLeft" activeCell="A3" sqref="A3"/>
      <selection pane="bottomRight" activeCell="A19" sqref="A19:BB19"/>
    </sheetView>
  </sheetViews>
  <sheetFormatPr defaultColWidth="11" defaultRowHeight="13" x14ac:dyDescent="0.35"/>
  <cols>
    <col min="1" max="1" width="47" style="2" customWidth="1"/>
    <col min="2" max="4" width="18.75" style="2" customWidth="1"/>
    <col min="5" max="5" width="47" style="2" customWidth="1"/>
    <col min="6" max="6" width="23.33203125" style="2" bestFit="1" customWidth="1"/>
    <col min="7" max="15" width="8.1640625" style="2" bestFit="1" customWidth="1"/>
    <col min="16" max="16" width="12.33203125" style="2" bestFit="1" customWidth="1"/>
    <col min="17" max="18" width="8.1640625" style="2" bestFit="1" customWidth="1"/>
    <col min="19" max="19" width="21.58203125" style="2" bestFit="1" customWidth="1"/>
    <col min="20" max="20" width="8.1640625" style="2" bestFit="1" customWidth="1"/>
    <col min="21" max="21" width="12.33203125" style="2" bestFit="1" customWidth="1"/>
    <col min="22" max="22" width="12.4140625" style="2" bestFit="1" customWidth="1"/>
    <col min="23" max="34" width="8.1640625" style="2" bestFit="1" customWidth="1"/>
    <col min="35" max="35" width="10.25" style="2" bestFit="1" customWidth="1"/>
    <col min="36" max="39" width="8.1640625" style="2" bestFit="1" customWidth="1"/>
    <col min="40" max="40" width="8.33203125" style="2" bestFit="1" customWidth="1"/>
    <col min="41" max="43" width="8.1640625" style="2" bestFit="1" customWidth="1"/>
    <col min="44" max="45" width="13.25" style="2" bestFit="1" customWidth="1"/>
    <col min="46" max="47" width="9" style="2" bestFit="1" customWidth="1"/>
    <col min="48" max="48" width="12.33203125" style="2" bestFit="1" customWidth="1"/>
    <col min="49" max="53" width="8.1640625" style="2" customWidth="1"/>
    <col min="54" max="16384" width="11" style="2"/>
  </cols>
  <sheetData>
    <row r="1" spans="1:54" ht="18.75" customHeight="1" x14ac:dyDescent="0.35">
      <c r="A1" s="2" t="s">
        <v>0</v>
      </c>
      <c r="B1" s="2" t="s">
        <v>1</v>
      </c>
      <c r="C1" s="2" t="s">
        <v>283</v>
      </c>
      <c r="D1" s="3" t="s">
        <v>227</v>
      </c>
      <c r="E1" s="3" t="s">
        <v>228</v>
      </c>
      <c r="F1" s="3" t="s">
        <v>229</v>
      </c>
      <c r="G1" s="3" t="s">
        <v>230</v>
      </c>
      <c r="H1" s="3" t="s">
        <v>231</v>
      </c>
      <c r="I1" s="3" t="s">
        <v>232</v>
      </c>
      <c r="J1" s="3" t="s">
        <v>233</v>
      </c>
      <c r="K1" s="3" t="s">
        <v>234</v>
      </c>
      <c r="L1" s="3" t="s">
        <v>235</v>
      </c>
      <c r="M1" s="3" t="s">
        <v>236</v>
      </c>
      <c r="N1" s="3" t="s">
        <v>237</v>
      </c>
      <c r="O1" s="3" t="s">
        <v>238</v>
      </c>
      <c r="P1" s="3" t="s">
        <v>239</v>
      </c>
      <c r="Q1" s="3" t="s">
        <v>240</v>
      </c>
      <c r="R1" s="4" t="s">
        <v>241</v>
      </c>
      <c r="S1" s="3" t="s">
        <v>242</v>
      </c>
      <c r="T1" s="3" t="s">
        <v>243</v>
      </c>
      <c r="U1" s="3" t="s">
        <v>244</v>
      </c>
      <c r="V1" s="3" t="s">
        <v>245</v>
      </c>
      <c r="W1" s="3" t="s">
        <v>246</v>
      </c>
      <c r="X1" s="3" t="s">
        <v>247</v>
      </c>
      <c r="Y1" s="3" t="s">
        <v>248</v>
      </c>
      <c r="Z1" s="3" t="s">
        <v>249</v>
      </c>
      <c r="AA1" s="3" t="s">
        <v>250</v>
      </c>
      <c r="AB1" s="3" t="s">
        <v>251</v>
      </c>
      <c r="AC1" s="3" t="s">
        <v>252</v>
      </c>
      <c r="AD1" s="3" t="s">
        <v>253</v>
      </c>
      <c r="AE1" s="3" t="s">
        <v>254</v>
      </c>
      <c r="AF1" s="3" t="s">
        <v>255</v>
      </c>
      <c r="AG1" s="3" t="s">
        <v>256</v>
      </c>
      <c r="AH1" s="3" t="s">
        <v>257</v>
      </c>
      <c r="AI1" s="3" t="s">
        <v>258</v>
      </c>
      <c r="AJ1" s="3" t="s">
        <v>259</v>
      </c>
      <c r="AK1" s="3" t="s">
        <v>260</v>
      </c>
      <c r="AL1" s="3" t="s">
        <v>261</v>
      </c>
      <c r="AM1" s="3" t="s">
        <v>262</v>
      </c>
      <c r="AN1" s="3" t="s">
        <v>263</v>
      </c>
      <c r="AO1" s="3" t="s">
        <v>264</v>
      </c>
      <c r="AP1" s="3" t="s">
        <v>265</v>
      </c>
      <c r="AQ1" s="3" t="s">
        <v>266</v>
      </c>
      <c r="AR1" s="3" t="s">
        <v>267</v>
      </c>
      <c r="AS1" s="3" t="s">
        <v>268</v>
      </c>
      <c r="AT1" s="3" t="s">
        <v>269</v>
      </c>
      <c r="AU1" s="3" t="s">
        <v>270</v>
      </c>
      <c r="AV1" s="3" t="s">
        <v>271</v>
      </c>
      <c r="AW1" s="3" t="s">
        <v>272</v>
      </c>
      <c r="AX1" s="3" t="s">
        <v>273</v>
      </c>
      <c r="AY1" s="3" t="s">
        <v>274</v>
      </c>
      <c r="AZ1" s="3" t="s">
        <v>275</v>
      </c>
      <c r="BA1" s="3" t="s">
        <v>276</v>
      </c>
      <c r="BB1" s="46" t="s">
        <v>284</v>
      </c>
    </row>
    <row r="2" spans="1:54" ht="18.75" customHeight="1" x14ac:dyDescent="0.35">
      <c r="A2" s="2">
        <v>5222586517</v>
      </c>
      <c r="D2" s="2" t="s">
        <v>127</v>
      </c>
      <c r="E2" s="2" t="s">
        <v>127</v>
      </c>
      <c r="R2" s="6"/>
      <c r="AA2" s="10"/>
      <c r="AB2" s="10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BB2" s="2" t="s">
        <v>285</v>
      </c>
    </row>
    <row r="3" spans="1:54" ht="18.75" customHeight="1" x14ac:dyDescent="0.35">
      <c r="A3" s="2">
        <v>5840203541</v>
      </c>
      <c r="D3" s="2" t="s">
        <v>6</v>
      </c>
      <c r="F3" s="2" t="s">
        <v>3</v>
      </c>
      <c r="R3" s="6"/>
      <c r="AC3" s="31"/>
      <c r="AD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BB3" s="2" t="s">
        <v>285</v>
      </c>
    </row>
    <row r="4" spans="1:54" ht="18.75" customHeight="1" x14ac:dyDescent="0.35">
      <c r="A4" s="2">
        <v>7123480633</v>
      </c>
      <c r="D4" s="2" t="s">
        <v>29</v>
      </c>
      <c r="F4" s="5"/>
      <c r="G4" s="5"/>
      <c r="H4" s="5"/>
      <c r="I4" s="5"/>
      <c r="J4" s="5"/>
      <c r="K4" s="5"/>
      <c r="L4" s="5"/>
      <c r="N4" s="5"/>
      <c r="O4" s="5"/>
      <c r="P4" s="5"/>
      <c r="Q4" s="5"/>
      <c r="R4" s="7"/>
      <c r="S4" s="31"/>
      <c r="T4" s="32"/>
      <c r="U4" s="5"/>
      <c r="V4" s="32"/>
      <c r="W4" s="32"/>
      <c r="X4" s="32"/>
      <c r="Y4" s="32"/>
      <c r="Z4" s="32"/>
      <c r="AA4" s="32"/>
      <c r="AB4" s="32"/>
      <c r="AC4" s="32"/>
      <c r="AD4" s="32"/>
      <c r="AE4" s="31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1"/>
      <c r="AS4" s="23"/>
      <c r="AT4" s="23"/>
      <c r="AU4" s="23"/>
      <c r="AV4" s="23"/>
      <c r="AW4" s="23"/>
      <c r="AX4" s="31"/>
      <c r="BB4" s="2" t="s">
        <v>285</v>
      </c>
    </row>
    <row r="5" spans="1:54" ht="18.75" customHeight="1" x14ac:dyDescent="0.35">
      <c r="A5" s="14">
        <v>6751694710</v>
      </c>
      <c r="B5" s="14">
        <v>792</v>
      </c>
      <c r="C5" s="14"/>
      <c r="D5" s="14" t="s">
        <v>225</v>
      </c>
      <c r="E5" s="14" t="s">
        <v>226</v>
      </c>
      <c r="F5" s="14"/>
      <c r="G5" s="15">
        <f>7/28*350.4065041</f>
        <v>87.601626025000002</v>
      </c>
      <c r="H5" s="15">
        <f>431/1.23</f>
        <v>350.40650406504068</v>
      </c>
      <c r="I5" s="15">
        <f>431/1.23</f>
        <v>350.40650406504068</v>
      </c>
      <c r="J5" s="15">
        <f>431/1.23</f>
        <v>350.40650406504068</v>
      </c>
      <c r="K5" s="15">
        <f>431/1.23</f>
        <v>350.40650406504068</v>
      </c>
      <c r="L5" s="15">
        <f>431/1.23</f>
        <v>350.40650406504068</v>
      </c>
      <c r="M5" s="15">
        <f>431/1.23</f>
        <v>350.40650406504068</v>
      </c>
      <c r="N5" s="15">
        <f>431/1.23</f>
        <v>350.40650406504068</v>
      </c>
      <c r="O5" s="15">
        <f>431/1.23</f>
        <v>350.40650406504068</v>
      </c>
      <c r="P5" s="15">
        <f>431/1.23</f>
        <v>350.40650406504068</v>
      </c>
      <c r="Q5" s="15">
        <f>431/1.23</f>
        <v>350.40650406504068</v>
      </c>
      <c r="R5" s="16">
        <f>431/1.23</f>
        <v>350.40650406504068</v>
      </c>
      <c r="S5" s="15">
        <f>R5*1.15</f>
        <v>402.96747967479678</v>
      </c>
      <c r="T5" s="15">
        <f>S5</f>
        <v>402.96747967479678</v>
      </c>
      <c r="U5" s="15">
        <f>T5</f>
        <v>402.96747967479678</v>
      </c>
      <c r="V5" s="15">
        <f>U5</f>
        <v>402.96747967479678</v>
      </c>
      <c r="W5" s="15">
        <f>V5</f>
        <v>402.96747967479678</v>
      </c>
      <c r="X5" s="15">
        <f>W5</f>
        <v>402.96747967479678</v>
      </c>
      <c r="Y5" s="15">
        <f>X5</f>
        <v>402.96747967479678</v>
      </c>
      <c r="Z5" s="15">
        <f>Y5</f>
        <v>402.96747967479678</v>
      </c>
      <c r="AA5" s="15">
        <f>Z5</f>
        <v>402.96747967479678</v>
      </c>
      <c r="AB5" s="15">
        <f>AA5</f>
        <v>402.96747967479678</v>
      </c>
      <c r="AC5" s="29">
        <f>AB5</f>
        <v>402.96747967479678</v>
      </c>
      <c r="AD5" s="29">
        <f>AC5</f>
        <v>402.96747967479678</v>
      </c>
      <c r="AE5" s="29">
        <f>AD5</f>
        <v>402.96747967479678</v>
      </c>
      <c r="AF5" s="29">
        <f>AE5</f>
        <v>402.96747967479678</v>
      </c>
      <c r="AG5" s="29">
        <f>AF5</f>
        <v>402.96747967479678</v>
      </c>
      <c r="AH5" s="29">
        <f>AG5</f>
        <v>402.96747967479678</v>
      </c>
      <c r="AI5" s="29">
        <f>AH5</f>
        <v>402.96747967479678</v>
      </c>
      <c r="AJ5" s="29">
        <f>AI5</f>
        <v>402.96747967479678</v>
      </c>
      <c r="AK5" s="29">
        <f>AJ5</f>
        <v>402.96747967479678</v>
      </c>
      <c r="AL5" s="29">
        <f>AK5</f>
        <v>402.96747967479678</v>
      </c>
      <c r="AM5" s="29">
        <f>AL5</f>
        <v>402.96747967479678</v>
      </c>
      <c r="AN5" s="29">
        <f>AM5</f>
        <v>402.96747967479678</v>
      </c>
      <c r="AO5" s="29">
        <f>AN5</f>
        <v>402.96747967479678</v>
      </c>
      <c r="AP5" s="29">
        <f>AO5</f>
        <v>402.96747967479678</v>
      </c>
      <c r="AQ5" s="29">
        <f>AP5</f>
        <v>402.96747967479678</v>
      </c>
      <c r="AR5" s="29">
        <f>AQ5</f>
        <v>402.96747967479678</v>
      </c>
      <c r="AS5" s="29">
        <f>AR5</f>
        <v>402.96747967479678</v>
      </c>
      <c r="AT5" s="29">
        <f>AS5</f>
        <v>402.96747967479678</v>
      </c>
      <c r="AU5" s="29">
        <f>AT5</f>
        <v>402.96747967479678</v>
      </c>
      <c r="AV5" s="29">
        <f>AU5</f>
        <v>402.96747967479678</v>
      </c>
      <c r="AW5" s="29">
        <f>AV5</f>
        <v>402.96747967479678</v>
      </c>
      <c r="AX5" s="29">
        <f>AW5</f>
        <v>402.96747967479678</v>
      </c>
      <c r="AY5" s="14" t="s">
        <v>3</v>
      </c>
      <c r="AZ5" s="14"/>
      <c r="BA5" s="14"/>
      <c r="BB5" s="2" t="s">
        <v>273</v>
      </c>
    </row>
    <row r="6" spans="1:54" ht="18.75" customHeight="1" x14ac:dyDescent="0.35">
      <c r="A6" s="14">
        <v>9571120216</v>
      </c>
      <c r="B6" s="14">
        <v>872</v>
      </c>
      <c r="C6" s="14"/>
      <c r="D6" s="14" t="s">
        <v>223</v>
      </c>
      <c r="E6" s="14" t="s">
        <v>224</v>
      </c>
      <c r="F6" s="14"/>
      <c r="G6" s="14"/>
      <c r="H6" s="14"/>
      <c r="I6" s="14"/>
      <c r="J6" s="14"/>
      <c r="K6" s="14"/>
      <c r="L6" s="14"/>
      <c r="M6" s="14"/>
      <c r="N6" s="15">
        <f>16/30*755</f>
        <v>402.66666666666669</v>
      </c>
      <c r="O6" s="15">
        <v>755</v>
      </c>
      <c r="P6" s="15">
        <v>755</v>
      </c>
      <c r="Q6" s="15">
        <f>0.53*1006+0.47*755</f>
        <v>888.03</v>
      </c>
      <c r="R6" s="16">
        <v>1006</v>
      </c>
      <c r="S6" s="14">
        <f>PRODUCT(R6*1.15)</f>
        <v>1156.8999999999999</v>
      </c>
      <c r="T6" s="15">
        <f>S6</f>
        <v>1156.8999999999999</v>
      </c>
      <c r="U6" s="15">
        <f>T6</f>
        <v>1156.8999999999999</v>
      </c>
      <c r="V6" s="15">
        <f>U6</f>
        <v>1156.8999999999999</v>
      </c>
      <c r="W6" s="15">
        <f>V6</f>
        <v>1156.8999999999999</v>
      </c>
      <c r="X6" s="15">
        <f>W6+110*(31-24)/31</f>
        <v>1181.7387096774191</v>
      </c>
      <c r="Y6" s="15">
        <f>1156.9+110</f>
        <v>1266.9000000000001</v>
      </c>
      <c r="Z6" s="15">
        <f>Y6</f>
        <v>1266.9000000000001</v>
      </c>
      <c r="AA6" s="15">
        <f>Z6</f>
        <v>1266.9000000000001</v>
      </c>
      <c r="AB6" s="15">
        <f>AA6</f>
        <v>1266.9000000000001</v>
      </c>
      <c r="AC6" s="29">
        <f>AB6</f>
        <v>1266.9000000000001</v>
      </c>
      <c r="AD6" s="29">
        <f>AC6</f>
        <v>1266.9000000000001</v>
      </c>
      <c r="AE6" s="29">
        <f>AD6+169</f>
        <v>1435.9</v>
      </c>
      <c r="AF6" s="29">
        <v>1435.9</v>
      </c>
      <c r="AG6" s="29">
        <v>1435.9</v>
      </c>
      <c r="AH6" s="29">
        <v>1435.9</v>
      </c>
      <c r="AI6" s="29">
        <v>1435.9</v>
      </c>
      <c r="AJ6" s="29">
        <v>1435.9</v>
      </c>
      <c r="AK6" s="29">
        <v>1435.9</v>
      </c>
      <c r="AL6" s="29">
        <v>1435.9</v>
      </c>
      <c r="AM6" s="29">
        <v>1435.9</v>
      </c>
      <c r="AN6" s="29">
        <v>1435.9</v>
      </c>
      <c r="AO6" s="29">
        <v>1435.9</v>
      </c>
      <c r="AP6" s="29">
        <v>1435.9</v>
      </c>
      <c r="AQ6" s="29">
        <v>1435.9</v>
      </c>
      <c r="AR6" s="23">
        <v>1651.29</v>
      </c>
      <c r="AS6" s="23">
        <v>1651.29</v>
      </c>
      <c r="AT6" s="23">
        <v>1651.29</v>
      </c>
      <c r="AU6" s="23">
        <v>1651.29</v>
      </c>
      <c r="AV6" s="23">
        <v>1651.29</v>
      </c>
      <c r="AW6" s="23">
        <v>1651.29</v>
      </c>
      <c r="AX6" s="23">
        <v>1651.29</v>
      </c>
      <c r="AY6" s="14" t="s">
        <v>3</v>
      </c>
      <c r="AZ6" s="14"/>
      <c r="BA6" s="14"/>
      <c r="BB6" s="14" t="s">
        <v>273</v>
      </c>
    </row>
    <row r="7" spans="1:54" ht="18.75" customHeight="1" x14ac:dyDescent="0.35">
      <c r="A7" s="14">
        <v>5213983383</v>
      </c>
      <c r="B7" s="14">
        <v>1000000013</v>
      </c>
      <c r="C7" s="14"/>
      <c r="D7" s="14" t="s">
        <v>218</v>
      </c>
      <c r="E7" s="14" t="s">
        <v>219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8"/>
      <c r="S7" s="14"/>
      <c r="T7" s="26"/>
      <c r="U7" s="26"/>
      <c r="V7" s="26"/>
      <c r="W7" s="26"/>
      <c r="X7" s="29"/>
      <c r="Y7" s="29">
        <v>1803</v>
      </c>
      <c r="Z7" s="29">
        <v>1803</v>
      </c>
      <c r="AA7" s="29">
        <f>Z7+(8/31*169)</f>
        <v>1846.6129032258063</v>
      </c>
      <c r="AB7" s="29">
        <f>Z7+169+(9/30*169)*3</f>
        <v>2124.1</v>
      </c>
      <c r="AC7" s="38">
        <f>1803+5*169+(26/31*169)</f>
        <v>2789.7419354838712</v>
      </c>
      <c r="AD7" s="38">
        <f>1803+5*169+169</f>
        <v>2817</v>
      </c>
      <c r="AE7" s="23">
        <v>2817</v>
      </c>
      <c r="AF7" s="23">
        <v>2817</v>
      </c>
      <c r="AG7" s="23">
        <v>2817</v>
      </c>
      <c r="AH7" s="23">
        <v>2817</v>
      </c>
      <c r="AI7" s="23">
        <v>2817</v>
      </c>
      <c r="AJ7" s="23">
        <v>2817</v>
      </c>
      <c r="AK7" s="23">
        <v>2817</v>
      </c>
      <c r="AL7" s="23">
        <v>2817</v>
      </c>
      <c r="AM7" s="23">
        <v>2817</v>
      </c>
      <c r="AN7" s="23">
        <v>2817</v>
      </c>
      <c r="AO7" s="23">
        <v>2817</v>
      </c>
      <c r="AP7" s="23">
        <v>2817</v>
      </c>
      <c r="AQ7" s="23">
        <v>2817</v>
      </c>
      <c r="AR7" s="40">
        <v>3098.7</v>
      </c>
      <c r="AS7" s="19">
        <v>3098.7</v>
      </c>
      <c r="AT7" s="19">
        <v>3098.7</v>
      </c>
      <c r="AU7" s="19">
        <v>3098.7</v>
      </c>
      <c r="AV7" s="19">
        <v>3098.7</v>
      </c>
      <c r="AW7" s="19">
        <v>3098.7</v>
      </c>
      <c r="AX7" s="14" t="s">
        <v>3</v>
      </c>
      <c r="AY7" s="14"/>
      <c r="AZ7" s="14"/>
      <c r="BA7" s="14"/>
      <c r="BB7" s="2" t="s">
        <v>272</v>
      </c>
    </row>
    <row r="8" spans="1:54" ht="18.75" customHeight="1" x14ac:dyDescent="0.35">
      <c r="A8" s="14">
        <v>5214038422</v>
      </c>
      <c r="B8" s="14">
        <v>1000000107</v>
      </c>
      <c r="C8" s="14"/>
      <c r="D8" s="14" t="s">
        <v>220</v>
      </c>
      <c r="E8" s="14" t="s">
        <v>220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8"/>
      <c r="S8" s="14"/>
      <c r="T8" s="14"/>
      <c r="U8" s="14"/>
      <c r="V8" s="14"/>
      <c r="W8" s="14"/>
      <c r="X8" s="14"/>
      <c r="Y8" s="14"/>
      <c r="Z8" s="14"/>
      <c r="AA8" s="14"/>
      <c r="AB8" s="14"/>
      <c r="AC8" s="26"/>
      <c r="AD8" s="26"/>
      <c r="AE8" s="26"/>
      <c r="AF8" s="26"/>
      <c r="AG8" s="26"/>
      <c r="AH8" s="26"/>
      <c r="AI8" s="26"/>
      <c r="AJ8" s="23">
        <f>718.5*9/31</f>
        <v>208.59677419354838</v>
      </c>
      <c r="AK8" s="23">
        <f>718.5</f>
        <v>718.5</v>
      </c>
      <c r="AL8" s="23">
        <f>718.5</f>
        <v>718.5</v>
      </c>
      <c r="AM8" s="23">
        <f>718.5</f>
        <v>718.5</v>
      </c>
      <c r="AN8" s="23">
        <f>718.5</f>
        <v>718.5</v>
      </c>
      <c r="AO8" s="23">
        <f>718.5</f>
        <v>718.5</v>
      </c>
      <c r="AP8" s="23">
        <f>718.5</f>
        <v>718.5</v>
      </c>
      <c r="AQ8" s="23">
        <f>718.5</f>
        <v>718.5</v>
      </c>
      <c r="AR8" s="23">
        <f>718.5</f>
        <v>718.5</v>
      </c>
      <c r="AS8" s="23">
        <f>718.5</f>
        <v>718.5</v>
      </c>
      <c r="AT8" s="23">
        <f>718.5</f>
        <v>718.5</v>
      </c>
      <c r="AU8" s="23">
        <f>718.5</f>
        <v>718.5</v>
      </c>
      <c r="AV8" s="23">
        <f>718.5</f>
        <v>718.5</v>
      </c>
      <c r="AW8" s="23">
        <f>718.5</f>
        <v>718.5</v>
      </c>
      <c r="AX8" s="14" t="s">
        <v>3</v>
      </c>
      <c r="AY8" s="23"/>
      <c r="AZ8" s="14"/>
      <c r="BA8" s="14"/>
      <c r="BB8" s="2" t="s">
        <v>272</v>
      </c>
    </row>
    <row r="9" spans="1:54" ht="18.75" customHeight="1" x14ac:dyDescent="0.35">
      <c r="A9" s="14">
        <v>8291543085</v>
      </c>
      <c r="B9" s="14">
        <v>447</v>
      </c>
      <c r="C9" s="14"/>
      <c r="D9" s="17" t="s">
        <v>221</v>
      </c>
      <c r="E9" s="14" t="s">
        <v>222</v>
      </c>
      <c r="F9" s="15">
        <f>649+69</f>
        <v>718</v>
      </c>
      <c r="G9" s="15">
        <f>649+69</f>
        <v>718</v>
      </c>
      <c r="H9" s="15">
        <f>649+69</f>
        <v>718</v>
      </c>
      <c r="I9" s="15">
        <f>649+69</f>
        <v>718</v>
      </c>
      <c r="J9" s="15">
        <f>649+69</f>
        <v>718</v>
      </c>
      <c r="K9" s="15">
        <f>649+69</f>
        <v>718</v>
      </c>
      <c r="L9" s="15">
        <f>649+69</f>
        <v>718</v>
      </c>
      <c r="M9" s="15">
        <f>649+69</f>
        <v>718</v>
      </c>
      <c r="N9" s="15">
        <f>649+69</f>
        <v>718</v>
      </c>
      <c r="O9" s="15">
        <f>649+69</f>
        <v>718</v>
      </c>
      <c r="P9" s="15">
        <f>649+69</f>
        <v>718</v>
      </c>
      <c r="Q9" s="15">
        <f>649+69</f>
        <v>718</v>
      </c>
      <c r="R9" s="16">
        <f>649+69</f>
        <v>718</v>
      </c>
      <c r="S9" s="15">
        <f>R9*1.15</f>
        <v>825.69999999999993</v>
      </c>
      <c r="T9" s="15">
        <f>649*1.15</f>
        <v>746.34999999999991</v>
      </c>
      <c r="U9" s="15">
        <f>T9</f>
        <v>746.34999999999991</v>
      </c>
      <c r="V9" s="29">
        <f>U9</f>
        <v>746.34999999999991</v>
      </c>
      <c r="W9" s="29">
        <f>V9</f>
        <v>746.34999999999991</v>
      </c>
      <c r="X9" s="29">
        <f>W9</f>
        <v>746.34999999999991</v>
      </c>
      <c r="Y9" s="29">
        <f>X9</f>
        <v>746.34999999999991</v>
      </c>
      <c r="Z9" s="29">
        <f>Y9</f>
        <v>746.34999999999991</v>
      </c>
      <c r="AA9" s="29">
        <f>Z9</f>
        <v>746.34999999999991</v>
      </c>
      <c r="AB9" s="29">
        <f>AA9</f>
        <v>746.34999999999991</v>
      </c>
      <c r="AC9" s="29">
        <f>AB9</f>
        <v>746.34999999999991</v>
      </c>
      <c r="AD9" s="29">
        <f>AC9</f>
        <v>746.34999999999991</v>
      </c>
      <c r="AE9" s="29">
        <f>AD9</f>
        <v>746.34999999999991</v>
      </c>
      <c r="AF9" s="29">
        <f>AE9</f>
        <v>746.34999999999991</v>
      </c>
      <c r="AG9" s="29">
        <f>AF9</f>
        <v>746.34999999999991</v>
      </c>
      <c r="AH9" s="29">
        <v>746.34999999999991</v>
      </c>
      <c r="AI9" s="29">
        <v>746.34999999999991</v>
      </c>
      <c r="AJ9" s="29">
        <v>746.34999999999991</v>
      </c>
      <c r="AK9" s="29">
        <v>746.34999999999991</v>
      </c>
      <c r="AL9" s="29">
        <v>746.34999999999991</v>
      </c>
      <c r="AM9" s="29">
        <v>746.34999999999991</v>
      </c>
      <c r="AN9" s="29">
        <v>746.34999999999991</v>
      </c>
      <c r="AO9" s="29">
        <v>746.34999999999991</v>
      </c>
      <c r="AP9" s="29">
        <v>746.34999999999991</v>
      </c>
      <c r="AQ9" s="29">
        <v>746.34999999999991</v>
      </c>
      <c r="AR9" s="29">
        <v>746.34999999999991</v>
      </c>
      <c r="AS9" s="29">
        <v>746.34999999999991</v>
      </c>
      <c r="AT9" s="29">
        <v>746.34999999999991</v>
      </c>
      <c r="AU9" s="29">
        <v>746.34999999999991</v>
      </c>
      <c r="AV9" s="29">
        <v>746.34999999999991</v>
      </c>
      <c r="AW9" s="29">
        <v>746.34999999999991</v>
      </c>
      <c r="AX9" s="14" t="s">
        <v>3</v>
      </c>
      <c r="AY9" s="14"/>
      <c r="AZ9" s="14"/>
      <c r="BA9" s="14"/>
      <c r="BB9" s="2" t="s">
        <v>272</v>
      </c>
    </row>
    <row r="10" spans="1:54" ht="18.75" customHeight="1" x14ac:dyDescent="0.35">
      <c r="A10" s="14">
        <v>6443013625</v>
      </c>
      <c r="B10" s="14">
        <v>691</v>
      </c>
      <c r="C10" s="14"/>
      <c r="D10" s="14" t="s">
        <v>216</v>
      </c>
      <c r="E10" s="14" t="s">
        <v>217</v>
      </c>
      <c r="F10" s="15">
        <v>1219.51</v>
      </c>
      <c r="G10" s="15">
        <v>1219.51</v>
      </c>
      <c r="H10" s="15">
        <v>1219.51</v>
      </c>
      <c r="I10" s="15">
        <v>1219.51</v>
      </c>
      <c r="J10" s="15">
        <v>1219.51</v>
      </c>
      <c r="K10" s="15">
        <v>1219.51</v>
      </c>
      <c r="L10" s="15">
        <v>1219.51</v>
      </c>
      <c r="M10" s="15">
        <v>1219.51</v>
      </c>
      <c r="N10" s="15">
        <v>1219.51</v>
      </c>
      <c r="O10" s="15">
        <v>1219.51</v>
      </c>
      <c r="P10" s="15">
        <v>1219.51</v>
      </c>
      <c r="Q10" s="15">
        <v>1219.51</v>
      </c>
      <c r="R10" s="16">
        <v>1219.51</v>
      </c>
      <c r="S10" s="20">
        <f>PRODUCT(R10*1.15)</f>
        <v>1402.4364999999998</v>
      </c>
      <c r="T10" s="15">
        <f>S10</f>
        <v>1402.4364999999998</v>
      </c>
      <c r="U10" s="15">
        <f>T10</f>
        <v>1402.4364999999998</v>
      </c>
      <c r="V10" s="15">
        <f>U10</f>
        <v>1402.4364999999998</v>
      </c>
      <c r="W10" s="15">
        <f>V10</f>
        <v>1402.4364999999998</v>
      </c>
      <c r="X10" s="15">
        <f>W10</f>
        <v>1402.4364999999998</v>
      </c>
      <c r="Y10" s="15">
        <f>X10</f>
        <v>1402.4364999999998</v>
      </c>
      <c r="Z10" s="15">
        <f>Y10</f>
        <v>1402.4364999999998</v>
      </c>
      <c r="AA10" s="15">
        <f>Z10</f>
        <v>1402.4364999999998</v>
      </c>
      <c r="AB10" s="15">
        <f>AA10</f>
        <v>1402.4364999999998</v>
      </c>
      <c r="AC10" s="29">
        <f>AB10</f>
        <v>1402.4364999999998</v>
      </c>
      <c r="AD10" s="29">
        <f>AC10</f>
        <v>1402.4364999999998</v>
      </c>
      <c r="AE10" s="29">
        <f>AD10</f>
        <v>1402.4364999999998</v>
      </c>
      <c r="AF10" s="29">
        <f>AE10</f>
        <v>1402.4364999999998</v>
      </c>
      <c r="AG10" s="29">
        <f>AF10</f>
        <v>1402.4364999999998</v>
      </c>
      <c r="AH10" s="29">
        <f>AG10</f>
        <v>1402.4364999999998</v>
      </c>
      <c r="AI10" s="29">
        <f>AH10</f>
        <v>1402.4364999999998</v>
      </c>
      <c r="AJ10" s="29">
        <f>AI10</f>
        <v>1402.4364999999998</v>
      </c>
      <c r="AK10" s="29">
        <f>AJ10</f>
        <v>1402.4364999999998</v>
      </c>
      <c r="AL10" s="29">
        <f>AK10</f>
        <v>1402.4364999999998</v>
      </c>
      <c r="AM10" s="29">
        <f>AL10</f>
        <v>1402.4364999999998</v>
      </c>
      <c r="AN10" s="29">
        <f>AM10</f>
        <v>1402.4364999999998</v>
      </c>
      <c r="AO10" s="29">
        <f>AN10</f>
        <v>1402.4364999999998</v>
      </c>
      <c r="AP10" s="29">
        <f>AO10</f>
        <v>1402.4364999999998</v>
      </c>
      <c r="AQ10" s="29">
        <f>AP10</f>
        <v>1402.4364999999998</v>
      </c>
      <c r="AR10" s="29">
        <f>AQ10</f>
        <v>1402.4364999999998</v>
      </c>
      <c r="AS10" s="29">
        <f>AR10</f>
        <v>1402.4364999999998</v>
      </c>
      <c r="AT10" s="29">
        <f>AS10</f>
        <v>1402.4364999999998</v>
      </c>
      <c r="AU10" s="29">
        <f>AT10</f>
        <v>1402.4364999999998</v>
      </c>
      <c r="AV10" s="14" t="s">
        <v>43</v>
      </c>
      <c r="AW10" s="14"/>
      <c r="AX10" s="14"/>
      <c r="AY10" s="14"/>
      <c r="AZ10" s="14"/>
      <c r="BA10" s="14"/>
      <c r="BB10" s="2" t="s">
        <v>286</v>
      </c>
    </row>
    <row r="11" spans="1:54" ht="18.75" customHeight="1" x14ac:dyDescent="0.35">
      <c r="A11" s="14">
        <v>5542485321</v>
      </c>
      <c r="B11" s="14">
        <v>876</v>
      </c>
      <c r="C11" s="14"/>
      <c r="D11" s="14" t="s">
        <v>214</v>
      </c>
      <c r="E11" s="14" t="s">
        <v>215</v>
      </c>
      <c r="F11" s="14"/>
      <c r="G11" s="14"/>
      <c r="H11" s="14"/>
      <c r="I11" s="14"/>
      <c r="J11" s="14"/>
      <c r="K11" s="14"/>
      <c r="L11" s="14"/>
      <c r="M11" s="14"/>
      <c r="N11" s="15">
        <f>25/30*1100</f>
        <v>916.66666666666674</v>
      </c>
      <c r="O11" s="15">
        <v>1100</v>
      </c>
      <c r="P11" s="15">
        <v>1100</v>
      </c>
      <c r="Q11" s="15">
        <v>1100</v>
      </c>
      <c r="R11" s="16">
        <v>1100</v>
      </c>
      <c r="S11" s="15">
        <v>1100</v>
      </c>
      <c r="T11" s="15">
        <f>S11</f>
        <v>1100</v>
      </c>
      <c r="U11" s="15">
        <f>T11</f>
        <v>1100</v>
      </c>
      <c r="V11" s="15">
        <f>U11</f>
        <v>1100</v>
      </c>
      <c r="W11" s="15">
        <f>V11</f>
        <v>1100</v>
      </c>
      <c r="X11" s="15">
        <f>W11</f>
        <v>1100</v>
      </c>
      <c r="Y11" s="15">
        <f>X11</f>
        <v>1100</v>
      </c>
      <c r="Z11" s="15">
        <f>Y11</f>
        <v>1100</v>
      </c>
      <c r="AA11" s="15">
        <f>Z11</f>
        <v>1100</v>
      </c>
      <c r="AB11" s="15">
        <f>AA11</f>
        <v>1100</v>
      </c>
      <c r="AC11" s="29">
        <f>AB11</f>
        <v>1100</v>
      </c>
      <c r="AD11" s="29">
        <f>AC11</f>
        <v>1100</v>
      </c>
      <c r="AE11" s="29">
        <f>AD11</f>
        <v>1100</v>
      </c>
      <c r="AF11" s="29">
        <v>1100</v>
      </c>
      <c r="AG11" s="29">
        <v>1100</v>
      </c>
      <c r="AH11" s="29">
        <v>1100</v>
      </c>
      <c r="AI11" s="29">
        <v>1100</v>
      </c>
      <c r="AJ11" s="29">
        <v>1100</v>
      </c>
      <c r="AK11" s="29">
        <v>1100</v>
      </c>
      <c r="AL11" s="29">
        <v>1100</v>
      </c>
      <c r="AM11" s="29">
        <v>1100</v>
      </c>
      <c r="AN11" s="29">
        <v>1100</v>
      </c>
      <c r="AO11" s="29">
        <v>1100</v>
      </c>
      <c r="AP11" s="29">
        <v>1100</v>
      </c>
      <c r="AQ11" s="29">
        <v>1100</v>
      </c>
      <c r="AR11" s="23">
        <v>1375</v>
      </c>
      <c r="AS11" s="23">
        <v>1375</v>
      </c>
      <c r="AT11" s="23">
        <v>1375</v>
      </c>
      <c r="AU11" s="23">
        <v>1375</v>
      </c>
      <c r="AV11" s="14" t="s">
        <v>3</v>
      </c>
      <c r="AW11" s="14"/>
      <c r="AX11" s="14"/>
      <c r="AY11" s="14"/>
      <c r="AZ11" s="14"/>
      <c r="BA11" s="14"/>
      <c r="BB11" s="2" t="s">
        <v>270</v>
      </c>
    </row>
    <row r="12" spans="1:54" ht="18.75" customHeight="1" x14ac:dyDescent="0.35">
      <c r="A12" s="14">
        <v>5213976638</v>
      </c>
      <c r="B12" s="14">
        <v>1000000037</v>
      </c>
      <c r="C12" s="14"/>
      <c r="D12" s="14" t="s">
        <v>205</v>
      </c>
      <c r="E12" s="14" t="s">
        <v>205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8"/>
      <c r="S12" s="14"/>
      <c r="T12" s="14"/>
      <c r="U12" s="14"/>
      <c r="V12" s="14"/>
      <c r="W12" s="14"/>
      <c r="X12" s="14"/>
      <c r="Y12" s="14"/>
      <c r="Z12" s="14"/>
      <c r="AA12" s="24"/>
      <c r="AB12" s="14">
        <f>24/30*733</f>
        <v>586.4</v>
      </c>
      <c r="AC12" s="23">
        <v>733</v>
      </c>
      <c r="AD12" s="23">
        <v>733</v>
      </c>
      <c r="AE12" s="23">
        <v>733</v>
      </c>
      <c r="AF12" s="23">
        <v>733</v>
      </c>
      <c r="AG12" s="23">
        <v>733</v>
      </c>
      <c r="AH12" s="23">
        <v>733</v>
      </c>
      <c r="AI12" s="23">
        <v>733</v>
      </c>
      <c r="AJ12" s="23">
        <f>AI12</f>
        <v>733</v>
      </c>
      <c r="AK12" s="23">
        <f>AJ12</f>
        <v>733</v>
      </c>
      <c r="AL12" s="23">
        <f>AK12</f>
        <v>733</v>
      </c>
      <c r="AM12" s="23">
        <f>AL12</f>
        <v>733</v>
      </c>
      <c r="AN12" s="23">
        <f>AM12</f>
        <v>733</v>
      </c>
      <c r="AO12" s="23">
        <v>1098.75</v>
      </c>
      <c r="AP12" s="23">
        <v>1098.75</v>
      </c>
      <c r="AQ12" s="23">
        <v>1098.75</v>
      </c>
      <c r="AR12" s="23">
        <v>1098.75</v>
      </c>
      <c r="AS12" s="23">
        <v>1098.75</v>
      </c>
      <c r="AT12" s="23">
        <v>1098.75</v>
      </c>
      <c r="AU12" s="23" t="s">
        <v>3</v>
      </c>
      <c r="AV12" s="14"/>
      <c r="AW12" s="14"/>
      <c r="AX12" s="14"/>
      <c r="AY12" s="14"/>
      <c r="AZ12" s="14"/>
      <c r="BA12" s="14"/>
      <c r="BB12" s="2" t="s">
        <v>269</v>
      </c>
    </row>
    <row r="13" spans="1:54" ht="18.75" customHeight="1" x14ac:dyDescent="0.35">
      <c r="A13" s="14">
        <v>6572922910</v>
      </c>
      <c r="B13" s="14">
        <v>557</v>
      </c>
      <c r="C13" s="14"/>
      <c r="D13" s="14" t="s">
        <v>201</v>
      </c>
      <c r="E13" s="14" t="s">
        <v>202</v>
      </c>
      <c r="F13" s="15">
        <v>800</v>
      </c>
      <c r="G13" s="15">
        <v>800</v>
      </c>
      <c r="H13" s="15">
        <v>800</v>
      </c>
      <c r="I13" s="15">
        <v>800</v>
      </c>
      <c r="J13" s="15">
        <v>800</v>
      </c>
      <c r="K13" s="15">
        <v>800</v>
      </c>
      <c r="L13" s="15">
        <v>800</v>
      </c>
      <c r="M13" s="15">
        <v>800</v>
      </c>
      <c r="N13" s="15">
        <v>800</v>
      </c>
      <c r="O13" s="15">
        <v>800</v>
      </c>
      <c r="P13" s="15">
        <v>800</v>
      </c>
      <c r="Q13" s="15">
        <v>800</v>
      </c>
      <c r="R13" s="16">
        <v>800</v>
      </c>
      <c r="S13" s="15">
        <f>PRODUCT(R13*1.15)</f>
        <v>919.99999999999989</v>
      </c>
      <c r="T13" s="15">
        <f>S13</f>
        <v>919.99999999999989</v>
      </c>
      <c r="U13" s="15">
        <f>T13</f>
        <v>919.99999999999989</v>
      </c>
      <c r="V13" s="15">
        <f>U13</f>
        <v>919.99999999999989</v>
      </c>
      <c r="W13" s="15">
        <f>V13</f>
        <v>919.99999999999989</v>
      </c>
      <c r="X13" s="15">
        <f>W13</f>
        <v>919.99999999999989</v>
      </c>
      <c r="Y13" s="15">
        <f>X13</f>
        <v>919.99999999999989</v>
      </c>
      <c r="Z13" s="15">
        <f>Y13</f>
        <v>919.99999999999989</v>
      </c>
      <c r="AA13" s="15">
        <f>Z13</f>
        <v>919.99999999999989</v>
      </c>
      <c r="AB13" s="15">
        <f>AA13</f>
        <v>919.99999999999989</v>
      </c>
      <c r="AC13" s="29">
        <f>AB13</f>
        <v>919.99999999999989</v>
      </c>
      <c r="AD13" s="29">
        <f>AC13</f>
        <v>919.99999999999989</v>
      </c>
      <c r="AE13" s="29">
        <f>AD13</f>
        <v>919.99999999999989</v>
      </c>
      <c r="AF13" s="29">
        <f>AE13</f>
        <v>919.99999999999989</v>
      </c>
      <c r="AG13" s="29">
        <f>AF13</f>
        <v>919.99999999999989</v>
      </c>
      <c r="AH13" s="29">
        <f>AG13</f>
        <v>919.99999999999989</v>
      </c>
      <c r="AI13" s="29">
        <f>AH13</f>
        <v>919.99999999999989</v>
      </c>
      <c r="AJ13" s="29">
        <f>AI13</f>
        <v>919.99999999999989</v>
      </c>
      <c r="AK13" s="29">
        <f>AJ13</f>
        <v>919.99999999999989</v>
      </c>
      <c r="AL13" s="29">
        <f>AK13</f>
        <v>919.99999999999989</v>
      </c>
      <c r="AM13" s="29">
        <f>AL13</f>
        <v>919.99999999999989</v>
      </c>
      <c r="AN13" s="29">
        <f>AM13</f>
        <v>919.99999999999989</v>
      </c>
      <c r="AO13" s="29">
        <f>AN13</f>
        <v>919.99999999999989</v>
      </c>
      <c r="AP13" s="29">
        <f>AO13</f>
        <v>919.99999999999989</v>
      </c>
      <c r="AQ13" s="29">
        <f>AP13</f>
        <v>919.99999999999989</v>
      </c>
      <c r="AR13" s="29">
        <f>AQ13</f>
        <v>919.99999999999989</v>
      </c>
      <c r="AS13" s="29">
        <f>AR13</f>
        <v>919.99999999999989</v>
      </c>
      <c r="AT13" s="29">
        <f>AS13*0.25</f>
        <v>229.99999999999997</v>
      </c>
      <c r="AU13" s="14" t="s">
        <v>3</v>
      </c>
      <c r="AV13" s="14"/>
      <c r="AW13" s="14"/>
      <c r="AX13" s="14"/>
      <c r="AY13" s="14"/>
      <c r="AZ13" s="14"/>
      <c r="BA13" s="14"/>
      <c r="BB13" s="2" t="s">
        <v>269</v>
      </c>
    </row>
    <row r="14" spans="1:54" ht="18.75" customHeight="1" x14ac:dyDescent="0.35">
      <c r="A14" s="14">
        <v>7831850472</v>
      </c>
      <c r="B14" s="14">
        <v>865</v>
      </c>
      <c r="C14" s="14"/>
      <c r="D14" s="14" t="s">
        <v>210</v>
      </c>
      <c r="E14" s="14" t="s">
        <v>211</v>
      </c>
      <c r="F14" s="14"/>
      <c r="G14" s="14"/>
      <c r="H14" s="14"/>
      <c r="I14" s="14"/>
      <c r="J14" s="14"/>
      <c r="K14" s="14"/>
      <c r="L14" s="14"/>
      <c r="M14" s="14"/>
      <c r="N14" s="14"/>
      <c r="O14" s="15">
        <v>586.54999999999995</v>
      </c>
      <c r="P14" s="15">
        <v>957</v>
      </c>
      <c r="Q14" s="15">
        <v>957</v>
      </c>
      <c r="R14" s="16">
        <f>957+159</f>
        <v>1116</v>
      </c>
      <c r="S14" s="15">
        <f>957+159</f>
        <v>1116</v>
      </c>
      <c r="T14" s="29">
        <f>S14</f>
        <v>1116</v>
      </c>
      <c r="U14" s="29">
        <f>T14</f>
        <v>1116</v>
      </c>
      <c r="V14" s="29">
        <f>U14</f>
        <v>1116</v>
      </c>
      <c r="W14" s="15">
        <f>V14</f>
        <v>1116</v>
      </c>
      <c r="X14" s="29">
        <f>W14</f>
        <v>1116</v>
      </c>
      <c r="Y14" s="29">
        <f>X14</f>
        <v>1116</v>
      </c>
      <c r="Z14" s="29">
        <f>Y14</f>
        <v>1116</v>
      </c>
      <c r="AA14" s="29">
        <f>Z14</f>
        <v>1116</v>
      </c>
      <c r="AB14" s="29">
        <f>AA14</f>
        <v>1116</v>
      </c>
      <c r="AC14" s="29">
        <f>AB14</f>
        <v>1116</v>
      </c>
      <c r="AD14" s="29">
        <f>AC14</f>
        <v>1116</v>
      </c>
      <c r="AE14" s="29">
        <f>AD14</f>
        <v>1116</v>
      </c>
      <c r="AF14" s="29">
        <f>AE14</f>
        <v>1116</v>
      </c>
      <c r="AG14" s="29">
        <f>AF14</f>
        <v>1116</v>
      </c>
      <c r="AH14" s="29">
        <f>AG14</f>
        <v>1116</v>
      </c>
      <c r="AI14" s="29">
        <f>AH14</f>
        <v>1116</v>
      </c>
      <c r="AJ14" s="29">
        <f>AI14</f>
        <v>1116</v>
      </c>
      <c r="AK14" s="29">
        <f>AJ14</f>
        <v>1116</v>
      </c>
      <c r="AL14" s="29">
        <f>AK14</f>
        <v>1116</v>
      </c>
      <c r="AM14" s="29">
        <f>AL14</f>
        <v>1116</v>
      </c>
      <c r="AN14" s="29">
        <f>AM14</f>
        <v>1116</v>
      </c>
      <c r="AO14" s="29">
        <f>AN14</f>
        <v>1116</v>
      </c>
      <c r="AP14" s="29">
        <f>AO14</f>
        <v>1116</v>
      </c>
      <c r="AQ14" s="29">
        <f>AP14</f>
        <v>1116</v>
      </c>
      <c r="AR14" s="29">
        <f>AQ14</f>
        <v>1116</v>
      </c>
      <c r="AS14" s="29">
        <f>AR14</f>
        <v>1116</v>
      </c>
      <c r="AT14" s="29">
        <f>AS14</f>
        <v>1116</v>
      </c>
      <c r="AU14" s="14" t="s">
        <v>3</v>
      </c>
      <c r="AV14" s="14"/>
      <c r="AW14" s="14"/>
      <c r="AX14" s="14"/>
      <c r="AY14" s="14"/>
      <c r="AZ14" s="14"/>
      <c r="BA14" s="14"/>
      <c r="BB14" s="2" t="s">
        <v>269</v>
      </c>
    </row>
    <row r="15" spans="1:54" ht="18.75" customHeight="1" x14ac:dyDescent="0.35">
      <c r="A15" s="14">
        <v>8992866645</v>
      </c>
      <c r="B15" s="14">
        <v>643</v>
      </c>
      <c r="C15" s="14"/>
      <c r="D15" s="14" t="s">
        <v>206</v>
      </c>
      <c r="E15" s="14" t="s">
        <v>207</v>
      </c>
      <c r="F15" s="15">
        <v>693.55</v>
      </c>
      <c r="G15" s="15">
        <v>693.55</v>
      </c>
      <c r="H15" s="15">
        <v>693.55</v>
      </c>
      <c r="I15" s="15">
        <v>693.55</v>
      </c>
      <c r="J15" s="15">
        <v>693.55</v>
      </c>
      <c r="K15" s="15">
        <v>693.55</v>
      </c>
      <c r="L15" s="15">
        <v>693.55</v>
      </c>
      <c r="M15" s="15">
        <v>693.55</v>
      </c>
      <c r="N15" s="15">
        <v>693.55</v>
      </c>
      <c r="O15" s="15">
        <v>693.55</v>
      </c>
      <c r="P15" s="15">
        <v>693.55</v>
      </c>
      <c r="Q15" s="15">
        <v>693.55</v>
      </c>
      <c r="R15" s="16">
        <v>693.55</v>
      </c>
      <c r="S15" s="15">
        <f>R15*1.15</f>
        <v>797.58249999999987</v>
      </c>
      <c r="T15" s="15">
        <f>S15</f>
        <v>797.58249999999987</v>
      </c>
      <c r="U15" s="15">
        <f>T15</f>
        <v>797.58249999999987</v>
      </c>
      <c r="V15" s="15">
        <f>U15</f>
        <v>797.58249999999987</v>
      </c>
      <c r="W15" s="15">
        <f>V15</f>
        <v>797.58249999999987</v>
      </c>
      <c r="X15" s="15">
        <f>W15</f>
        <v>797.58249999999987</v>
      </c>
      <c r="Y15" s="15">
        <f>X15</f>
        <v>797.58249999999987</v>
      </c>
      <c r="Z15" s="15">
        <f>Y15</f>
        <v>797.58249999999987</v>
      </c>
      <c r="AA15" s="15">
        <f>Z15</f>
        <v>797.58249999999987</v>
      </c>
      <c r="AB15" s="15">
        <f>AA15</f>
        <v>797.58249999999987</v>
      </c>
      <c r="AC15" s="29">
        <f>AB15</f>
        <v>797.58249999999987</v>
      </c>
      <c r="AD15" s="29">
        <f>AC15</f>
        <v>797.58249999999987</v>
      </c>
      <c r="AE15" s="29">
        <f>AD15</f>
        <v>797.58249999999987</v>
      </c>
      <c r="AF15" s="29">
        <f>AE15</f>
        <v>797.58249999999987</v>
      </c>
      <c r="AG15" s="29">
        <f>AF15</f>
        <v>797.58249999999987</v>
      </c>
      <c r="AH15" s="29">
        <f>AG15</f>
        <v>797.58249999999987</v>
      </c>
      <c r="AI15" s="29">
        <f>AH15</f>
        <v>797.58249999999987</v>
      </c>
      <c r="AJ15" s="29">
        <f>AI15</f>
        <v>797.58249999999987</v>
      </c>
      <c r="AK15" s="29">
        <f>AJ15</f>
        <v>797.58249999999987</v>
      </c>
      <c r="AL15" s="29">
        <f>AK15</f>
        <v>797.58249999999987</v>
      </c>
      <c r="AM15" s="29">
        <f>AL15</f>
        <v>797.58249999999987</v>
      </c>
      <c r="AN15" s="29">
        <f>AM15</f>
        <v>797.58249999999987</v>
      </c>
      <c r="AO15" s="29">
        <f>AN15</f>
        <v>797.58249999999987</v>
      </c>
      <c r="AP15" s="29">
        <f>AO15</f>
        <v>797.58249999999987</v>
      </c>
      <c r="AQ15" s="29">
        <f>AP15</f>
        <v>797.58249999999987</v>
      </c>
      <c r="AR15" s="29">
        <f>AQ15</f>
        <v>797.58249999999987</v>
      </c>
      <c r="AS15" s="29">
        <f>AR15</f>
        <v>797.58249999999987</v>
      </c>
      <c r="AT15" s="29">
        <f>AS15</f>
        <v>797.58249999999987</v>
      </c>
      <c r="AU15" s="14" t="s">
        <v>3</v>
      </c>
      <c r="AV15" s="14"/>
      <c r="AW15" s="14"/>
      <c r="AX15" s="14"/>
      <c r="AY15" s="14"/>
      <c r="AZ15" s="14"/>
      <c r="BA15" s="14"/>
      <c r="BB15" s="2" t="s">
        <v>269</v>
      </c>
    </row>
    <row r="16" spans="1:54" ht="18.75" customHeight="1" x14ac:dyDescent="0.35">
      <c r="A16" s="14">
        <v>9512515114</v>
      </c>
      <c r="B16" s="14">
        <v>893</v>
      </c>
      <c r="C16" s="14"/>
      <c r="D16" s="14" t="s">
        <v>203</v>
      </c>
      <c r="E16" s="14" t="s">
        <v>204</v>
      </c>
      <c r="F16" s="14"/>
      <c r="G16" s="14"/>
      <c r="H16" s="14"/>
      <c r="I16" s="14"/>
      <c r="J16" s="14"/>
      <c r="K16" s="14"/>
      <c r="L16" s="14"/>
      <c r="M16" s="14"/>
      <c r="N16" s="15"/>
      <c r="O16" s="15">
        <f>28/31*972</f>
        <v>877.93548387096769</v>
      </c>
      <c r="P16" s="15">
        <v>972</v>
      </c>
      <c r="Q16" s="15">
        <v>972</v>
      </c>
      <c r="R16" s="16">
        <v>972</v>
      </c>
      <c r="S16" s="14">
        <f>PRODUCT(R16*1.15)</f>
        <v>1117.8</v>
      </c>
      <c r="T16" s="15">
        <f>S16</f>
        <v>1117.8</v>
      </c>
      <c r="U16" s="15">
        <f>T16</f>
        <v>1117.8</v>
      </c>
      <c r="V16" s="15">
        <f>U16</f>
        <v>1117.8</v>
      </c>
      <c r="W16" s="15">
        <f>V16</f>
        <v>1117.8</v>
      </c>
      <c r="X16" s="15">
        <f>W16</f>
        <v>1117.8</v>
      </c>
      <c r="Y16" s="15">
        <f>X16</f>
        <v>1117.8</v>
      </c>
      <c r="Z16" s="15">
        <f>Y16</f>
        <v>1117.8</v>
      </c>
      <c r="AA16" s="15">
        <f>Z16</f>
        <v>1117.8</v>
      </c>
      <c r="AB16" s="15">
        <f>AA16</f>
        <v>1117.8</v>
      </c>
      <c r="AC16" s="29">
        <f>AB16</f>
        <v>1117.8</v>
      </c>
      <c r="AD16" s="29">
        <f>AC16</f>
        <v>1117.8</v>
      </c>
      <c r="AE16" s="29">
        <f>AD16</f>
        <v>1117.8</v>
      </c>
      <c r="AF16" s="29">
        <f>AE16</f>
        <v>1117.8</v>
      </c>
      <c r="AG16" s="29">
        <f>AF16</f>
        <v>1117.8</v>
      </c>
      <c r="AH16" s="29">
        <f>AG16</f>
        <v>1117.8</v>
      </c>
      <c r="AI16" s="29">
        <f>AH16</f>
        <v>1117.8</v>
      </c>
      <c r="AJ16" s="29">
        <f>AI16</f>
        <v>1117.8</v>
      </c>
      <c r="AK16" s="29">
        <f>AJ16</f>
        <v>1117.8</v>
      </c>
      <c r="AL16" s="29">
        <f>AK16</f>
        <v>1117.8</v>
      </c>
      <c r="AM16" s="29">
        <f>AL16</f>
        <v>1117.8</v>
      </c>
      <c r="AN16" s="29">
        <f>AM16</f>
        <v>1117.8</v>
      </c>
      <c r="AO16" s="29">
        <f>AN16</f>
        <v>1117.8</v>
      </c>
      <c r="AP16" s="29">
        <f>AO16</f>
        <v>1117.8</v>
      </c>
      <c r="AQ16" s="29">
        <f>AP16</f>
        <v>1117.8</v>
      </c>
      <c r="AR16" s="23">
        <v>1319</v>
      </c>
      <c r="AS16" s="23">
        <v>1319</v>
      </c>
      <c r="AT16" s="23">
        <v>1319</v>
      </c>
      <c r="AU16" s="14" t="s">
        <v>3</v>
      </c>
      <c r="AV16" s="14"/>
      <c r="AW16" s="14"/>
      <c r="AX16" s="14"/>
      <c r="AY16" s="14"/>
      <c r="AZ16" s="14"/>
      <c r="BA16" s="14"/>
      <c r="BB16" s="14" t="s">
        <v>269</v>
      </c>
    </row>
    <row r="17" spans="1:54" ht="15.75" customHeight="1" x14ac:dyDescent="0.35">
      <c r="A17" s="14">
        <v>9571078158</v>
      </c>
      <c r="B17" s="14">
        <v>700</v>
      </c>
      <c r="C17" s="14"/>
      <c r="D17" s="14" t="s">
        <v>208</v>
      </c>
      <c r="E17" s="14" t="s">
        <v>209</v>
      </c>
      <c r="F17" s="15">
        <v>1067</v>
      </c>
      <c r="G17" s="15">
        <v>1067</v>
      </c>
      <c r="H17" s="15">
        <f>1067*0.65</f>
        <v>693.55000000000007</v>
      </c>
      <c r="I17" s="15">
        <v>1067</v>
      </c>
      <c r="J17" s="15">
        <v>1067</v>
      </c>
      <c r="K17" s="15">
        <v>1067</v>
      </c>
      <c r="L17" s="15">
        <v>1067</v>
      </c>
      <c r="M17" s="15">
        <v>1067</v>
      </c>
      <c r="N17" s="15">
        <v>1067</v>
      </c>
      <c r="O17" s="15">
        <v>1067</v>
      </c>
      <c r="P17" s="15">
        <v>1067</v>
      </c>
      <c r="Q17" s="15">
        <v>1067</v>
      </c>
      <c r="R17" s="16">
        <v>1067</v>
      </c>
      <c r="S17" s="14">
        <f>PRODUCT(R17*1.15)</f>
        <v>1227.05</v>
      </c>
      <c r="T17" s="15">
        <f>S17</f>
        <v>1227.05</v>
      </c>
      <c r="U17" s="15">
        <f>T17</f>
        <v>1227.05</v>
      </c>
      <c r="V17" s="15">
        <f>U17</f>
        <v>1227.05</v>
      </c>
      <c r="W17" s="15">
        <f>V17</f>
        <v>1227.05</v>
      </c>
      <c r="X17" s="15">
        <f>W17</f>
        <v>1227.05</v>
      </c>
      <c r="Y17" s="15">
        <f>X17</f>
        <v>1227.05</v>
      </c>
      <c r="Z17" s="15">
        <f>Y17</f>
        <v>1227.05</v>
      </c>
      <c r="AA17" s="15">
        <f>Z17</f>
        <v>1227.05</v>
      </c>
      <c r="AB17" s="15">
        <f>AA17</f>
        <v>1227.05</v>
      </c>
      <c r="AC17" s="29">
        <f>AB17</f>
        <v>1227.05</v>
      </c>
      <c r="AD17" s="29">
        <f>AC17</f>
        <v>1227.05</v>
      </c>
      <c r="AE17" s="29">
        <f>AD17</f>
        <v>1227.05</v>
      </c>
      <c r="AF17" s="29">
        <f>AE17</f>
        <v>1227.05</v>
      </c>
      <c r="AG17" s="29">
        <f>AF17</f>
        <v>1227.05</v>
      </c>
      <c r="AH17" s="29">
        <f>AG17</f>
        <v>1227.05</v>
      </c>
      <c r="AI17" s="29">
        <f>AH17</f>
        <v>1227.05</v>
      </c>
      <c r="AJ17" s="29">
        <f>AI17</f>
        <v>1227.05</v>
      </c>
      <c r="AK17" s="29">
        <f>AJ17</f>
        <v>1227.05</v>
      </c>
      <c r="AL17" s="29">
        <f>AK17</f>
        <v>1227.05</v>
      </c>
      <c r="AM17" s="29">
        <f>AL17</f>
        <v>1227.05</v>
      </c>
      <c r="AN17" s="29">
        <f>AM17</f>
        <v>1227.05</v>
      </c>
      <c r="AO17" s="29">
        <f>AN17</f>
        <v>1227.05</v>
      </c>
      <c r="AP17" s="29">
        <f>AO17</f>
        <v>1227.05</v>
      </c>
      <c r="AQ17" s="29">
        <f>AP17</f>
        <v>1227.05</v>
      </c>
      <c r="AR17" s="29">
        <f>AQ17</f>
        <v>1227.05</v>
      </c>
      <c r="AS17" s="29">
        <f>AR17</f>
        <v>1227.05</v>
      </c>
      <c r="AT17" s="29">
        <f>AS17</f>
        <v>1227.05</v>
      </c>
      <c r="AU17" s="14" t="s">
        <v>3</v>
      </c>
      <c r="AV17" s="14"/>
      <c r="AW17" s="14"/>
      <c r="AX17" s="14"/>
      <c r="AY17" s="14"/>
      <c r="AZ17" s="14"/>
      <c r="BA17" s="14"/>
      <c r="BB17" s="14" t="s">
        <v>269</v>
      </c>
    </row>
    <row r="18" spans="1:54" ht="15.75" customHeight="1" x14ac:dyDescent="0.35">
      <c r="A18" s="14">
        <v>5321643282</v>
      </c>
      <c r="B18" s="14">
        <v>1000000140</v>
      </c>
      <c r="C18" s="14"/>
      <c r="D18" s="14" t="s">
        <v>189</v>
      </c>
      <c r="E18" s="14" t="s">
        <v>189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5"/>
      <c r="Q18" s="15"/>
      <c r="R18" s="18"/>
      <c r="S18" s="14"/>
      <c r="T18" s="26"/>
      <c r="U18" s="26"/>
      <c r="V18" s="41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 t="s">
        <v>3</v>
      </c>
      <c r="AU18" s="14"/>
      <c r="AV18" s="14"/>
      <c r="AW18" s="14"/>
      <c r="AX18" s="14"/>
      <c r="AY18" s="14"/>
      <c r="AZ18" s="14"/>
      <c r="BA18" s="14"/>
      <c r="BB18" s="2" t="s">
        <v>268</v>
      </c>
    </row>
    <row r="19" spans="1:54" ht="15.75" customHeight="1" x14ac:dyDescent="0.35">
      <c r="A19" s="26">
        <v>7010819366</v>
      </c>
      <c r="B19" s="26">
        <v>640</v>
      </c>
      <c r="C19" s="26"/>
      <c r="D19" s="26" t="s">
        <v>194</v>
      </c>
      <c r="E19" s="26" t="s">
        <v>194</v>
      </c>
      <c r="F19" s="29">
        <f>2429+297</f>
        <v>2726</v>
      </c>
      <c r="G19" s="29">
        <f>2429+297</f>
        <v>2726</v>
      </c>
      <c r="H19" s="29">
        <f>2429+297</f>
        <v>2726</v>
      </c>
      <c r="I19" s="29">
        <f>2429+297</f>
        <v>2726</v>
      </c>
      <c r="J19" s="29">
        <f>2429+297</f>
        <v>2726</v>
      </c>
      <c r="K19" s="29">
        <f>2429+297</f>
        <v>2726</v>
      </c>
      <c r="L19" s="29">
        <f>2429+297</f>
        <v>2726</v>
      </c>
      <c r="M19" s="29">
        <f>2429+297</f>
        <v>2726</v>
      </c>
      <c r="N19" s="29">
        <f>2429+297</f>
        <v>2726</v>
      </c>
      <c r="O19" s="29">
        <f>2429+297</f>
        <v>2726</v>
      </c>
      <c r="P19" s="29">
        <v>2726</v>
      </c>
      <c r="Q19" s="29">
        <v>2726</v>
      </c>
      <c r="R19" s="16">
        <v>2726</v>
      </c>
      <c r="S19" s="29">
        <v>2726</v>
      </c>
      <c r="T19" s="29">
        <v>2726</v>
      </c>
      <c r="U19" s="29">
        <v>2726</v>
      </c>
      <c r="V19" s="29">
        <v>2726</v>
      </c>
      <c r="W19" s="29">
        <v>2726</v>
      </c>
      <c r="X19" s="29">
        <v>2726</v>
      </c>
      <c r="Y19" s="29">
        <v>2726</v>
      </c>
      <c r="Z19" s="29">
        <v>2726</v>
      </c>
      <c r="AA19" s="29">
        <v>2726</v>
      </c>
      <c r="AB19" s="29">
        <v>2726</v>
      </c>
      <c r="AC19" s="29">
        <v>2726</v>
      </c>
      <c r="AD19" s="29">
        <v>2726</v>
      </c>
      <c r="AE19" s="29">
        <v>2726</v>
      </c>
      <c r="AF19" s="29">
        <v>2726</v>
      </c>
      <c r="AG19" s="29">
        <v>2726</v>
      </c>
      <c r="AH19" s="29">
        <v>2726</v>
      </c>
      <c r="AI19" s="29">
        <v>2726</v>
      </c>
      <c r="AJ19" s="29">
        <v>2726</v>
      </c>
      <c r="AK19" s="29">
        <v>2726</v>
      </c>
      <c r="AL19" s="29">
        <v>2726</v>
      </c>
      <c r="AM19" s="29">
        <v>2726</v>
      </c>
      <c r="AN19" s="29">
        <v>2726</v>
      </c>
      <c r="AO19" s="29">
        <v>2726</v>
      </c>
      <c r="AP19" s="29">
        <v>2726</v>
      </c>
      <c r="AQ19" s="29">
        <v>2726</v>
      </c>
      <c r="AR19" s="29">
        <v>2726</v>
      </c>
      <c r="AS19" s="26" t="s">
        <v>171</v>
      </c>
      <c r="AT19" s="26"/>
      <c r="AU19" s="26"/>
      <c r="AV19" s="26"/>
      <c r="AW19" s="26"/>
      <c r="AX19" s="26"/>
      <c r="AY19" s="26"/>
      <c r="AZ19" s="26"/>
      <c r="BA19" s="26"/>
      <c r="BB19" s="2" t="s">
        <v>287</v>
      </c>
    </row>
    <row r="20" spans="1:54" ht="15.75" customHeight="1" x14ac:dyDescent="0.35">
      <c r="A20" s="14">
        <v>8512074804</v>
      </c>
      <c r="B20" s="14">
        <v>344</v>
      </c>
      <c r="C20" s="14"/>
      <c r="D20" s="17" t="s">
        <v>199</v>
      </c>
      <c r="E20" s="14" t="s">
        <v>200</v>
      </c>
      <c r="F20" s="15">
        <v>490</v>
      </c>
      <c r="G20" s="15">
        <v>490</v>
      </c>
      <c r="H20" s="15">
        <v>490</v>
      </c>
      <c r="I20" s="15">
        <v>490</v>
      </c>
      <c r="J20" s="15">
        <v>490</v>
      </c>
      <c r="K20" s="15">
        <v>490</v>
      </c>
      <c r="L20" s="15">
        <v>490</v>
      </c>
      <c r="M20" s="15">
        <v>490</v>
      </c>
      <c r="N20" s="15">
        <v>490</v>
      </c>
      <c r="O20" s="15">
        <v>490</v>
      </c>
      <c r="P20" s="15">
        <v>490</v>
      </c>
      <c r="Q20" s="15">
        <v>490</v>
      </c>
      <c r="R20" s="16">
        <v>490</v>
      </c>
      <c r="S20" s="26">
        <f>PRODUCT(R20*1.15)</f>
        <v>563.5</v>
      </c>
      <c r="T20" s="29">
        <f>S20</f>
        <v>563.5</v>
      </c>
      <c r="U20" s="29">
        <f>T20</f>
        <v>563.5</v>
      </c>
      <c r="V20" s="29">
        <f>U20</f>
        <v>563.5</v>
      </c>
      <c r="W20" s="29">
        <f>V20</f>
        <v>563.5</v>
      </c>
      <c r="X20" s="29">
        <f>W20</f>
        <v>563.5</v>
      </c>
      <c r="Y20" s="29">
        <f>X20</f>
        <v>563.5</v>
      </c>
      <c r="Z20" s="29">
        <f>Y20</f>
        <v>563.5</v>
      </c>
      <c r="AA20" s="29">
        <f>Z20</f>
        <v>563.5</v>
      </c>
      <c r="AB20" s="29">
        <f>AA20</f>
        <v>563.5</v>
      </c>
      <c r="AC20" s="29">
        <f>AB20</f>
        <v>563.5</v>
      </c>
      <c r="AD20" s="29">
        <f>AC20</f>
        <v>563.5</v>
      </c>
      <c r="AE20" s="29">
        <f>AD20</f>
        <v>563.5</v>
      </c>
      <c r="AF20" s="29">
        <f>AE20</f>
        <v>563.5</v>
      </c>
      <c r="AG20" s="29">
        <f>AF20</f>
        <v>563.5</v>
      </c>
      <c r="AH20" s="29">
        <f>AG20</f>
        <v>563.5</v>
      </c>
      <c r="AI20" s="29">
        <f>AH20</f>
        <v>563.5</v>
      </c>
      <c r="AJ20" s="29">
        <f>AI20</f>
        <v>563.5</v>
      </c>
      <c r="AK20" s="29">
        <f>AJ20</f>
        <v>563.5</v>
      </c>
      <c r="AL20" s="29">
        <f>AK20</f>
        <v>563.5</v>
      </c>
      <c r="AM20" s="29">
        <f>AL20</f>
        <v>563.5</v>
      </c>
      <c r="AN20" s="29">
        <f>AM20</f>
        <v>563.5</v>
      </c>
      <c r="AO20" s="29">
        <f>AN20</f>
        <v>563.5</v>
      </c>
      <c r="AP20" s="29">
        <f>AO20</f>
        <v>563.5</v>
      </c>
      <c r="AQ20" s="29">
        <f>AP20</f>
        <v>563.5</v>
      </c>
      <c r="AR20" s="29">
        <f>AQ20</f>
        <v>563.5</v>
      </c>
      <c r="AS20" s="29">
        <f>AR20</f>
        <v>563.5</v>
      </c>
      <c r="AT20" s="14" t="s">
        <v>3</v>
      </c>
      <c r="AU20" s="14"/>
      <c r="AV20" s="14"/>
      <c r="AW20" s="14"/>
      <c r="AX20" s="14"/>
      <c r="AY20" s="14"/>
      <c r="AZ20" s="14"/>
      <c r="BA20" s="14"/>
      <c r="BB20" s="2" t="s">
        <v>268</v>
      </c>
    </row>
    <row r="21" spans="1:54" ht="15.75" customHeight="1" x14ac:dyDescent="0.35">
      <c r="A21" s="26">
        <v>9512470819</v>
      </c>
      <c r="B21" s="26">
        <v>291</v>
      </c>
      <c r="C21" s="26"/>
      <c r="D21" s="26" t="s">
        <v>179</v>
      </c>
      <c r="E21" s="26" t="s">
        <v>180</v>
      </c>
      <c r="F21" s="29">
        <v>1450</v>
      </c>
      <c r="G21" s="29">
        <v>1450</v>
      </c>
      <c r="H21" s="29">
        <v>1450</v>
      </c>
      <c r="I21" s="29">
        <v>1450</v>
      </c>
      <c r="J21" s="29">
        <v>1450</v>
      </c>
      <c r="K21" s="29">
        <v>1450</v>
      </c>
      <c r="L21" s="29">
        <v>1450</v>
      </c>
      <c r="M21" s="29">
        <v>1450</v>
      </c>
      <c r="N21" s="29">
        <v>1450</v>
      </c>
      <c r="O21" s="29">
        <v>1450</v>
      </c>
      <c r="P21" s="29">
        <v>1450</v>
      </c>
      <c r="Q21" s="29">
        <v>1450</v>
      </c>
      <c r="R21" s="16">
        <f>Q21*1.15</f>
        <v>1667.4999999999998</v>
      </c>
      <c r="S21" s="29">
        <f>R21</f>
        <v>1667.4999999999998</v>
      </c>
      <c r="T21" s="29">
        <f>S21</f>
        <v>1667.4999999999998</v>
      </c>
      <c r="U21" s="29">
        <f>T21</f>
        <v>1667.4999999999998</v>
      </c>
      <c r="V21" s="29">
        <f>U21</f>
        <v>1667.4999999999998</v>
      </c>
      <c r="W21" s="29">
        <f>V21</f>
        <v>1667.4999999999998</v>
      </c>
      <c r="X21" s="29">
        <f>W21</f>
        <v>1667.4999999999998</v>
      </c>
      <c r="Y21" s="29">
        <f>X21</f>
        <v>1667.4999999999998</v>
      </c>
      <c r="Z21" s="29">
        <f>Y21</f>
        <v>1667.4999999999998</v>
      </c>
      <c r="AA21" s="29">
        <f>Z21</f>
        <v>1667.4999999999998</v>
      </c>
      <c r="AB21" s="29">
        <f>AA21</f>
        <v>1667.4999999999998</v>
      </c>
      <c r="AC21" s="29">
        <f>AB21</f>
        <v>1667.4999999999998</v>
      </c>
      <c r="AD21" s="29">
        <f>AC21</f>
        <v>1667.4999999999998</v>
      </c>
      <c r="AE21" s="29">
        <f>AD21</f>
        <v>1667.4999999999998</v>
      </c>
      <c r="AF21" s="29">
        <f>AE21</f>
        <v>1667.4999999999998</v>
      </c>
      <c r="AG21" s="29">
        <f>AF21</f>
        <v>1667.4999999999998</v>
      </c>
      <c r="AH21" s="29">
        <v>1667.4999999999998</v>
      </c>
      <c r="AI21" s="29">
        <v>1667.4999999999998</v>
      </c>
      <c r="AJ21" s="29">
        <v>1667.4999999999998</v>
      </c>
      <c r="AK21" s="29">
        <v>1667.4999999999998</v>
      </c>
      <c r="AL21" s="29">
        <v>1667.4999999999998</v>
      </c>
      <c r="AM21" s="29">
        <v>1667.4999999999998</v>
      </c>
      <c r="AN21" s="29">
        <v>1667.4999999999998</v>
      </c>
      <c r="AO21" s="29">
        <v>1667.4999999999998</v>
      </c>
      <c r="AP21" s="29">
        <v>1667.4999999999998</v>
      </c>
      <c r="AQ21" s="29">
        <v>1667.4999999999998</v>
      </c>
      <c r="AR21" s="29">
        <v>1667.4999999999998</v>
      </c>
      <c r="AS21" s="26" t="s">
        <v>171</v>
      </c>
      <c r="AT21" s="26"/>
      <c r="AU21" s="26"/>
      <c r="AV21" s="26"/>
      <c r="AW21" s="26"/>
      <c r="AX21" s="26"/>
      <c r="AY21" s="26"/>
      <c r="AZ21" s="26"/>
      <c r="BA21" s="26"/>
      <c r="BB21" s="2" t="s">
        <v>287</v>
      </c>
    </row>
    <row r="22" spans="1:54" ht="15.75" customHeight="1" x14ac:dyDescent="0.35">
      <c r="A22" s="14">
        <v>9691227253</v>
      </c>
      <c r="B22" s="14">
        <v>545</v>
      </c>
      <c r="C22" s="14"/>
      <c r="D22" s="14" t="s">
        <v>212</v>
      </c>
      <c r="E22" s="14" t="s">
        <v>213</v>
      </c>
      <c r="F22" s="15">
        <v>1220</v>
      </c>
      <c r="G22" s="15">
        <v>1220</v>
      </c>
      <c r="H22" s="15">
        <v>1220</v>
      </c>
      <c r="I22" s="15">
        <v>1220</v>
      </c>
      <c r="J22" s="15">
        <v>1220</v>
      </c>
      <c r="K22" s="15">
        <v>1220</v>
      </c>
      <c r="L22" s="15">
        <v>1220</v>
      </c>
      <c r="M22" s="15">
        <v>1220</v>
      </c>
      <c r="N22" s="15">
        <v>1220</v>
      </c>
      <c r="O22" s="15">
        <v>1220</v>
      </c>
      <c r="P22" s="15">
        <v>1220</v>
      </c>
      <c r="Q22" s="15">
        <v>1220</v>
      </c>
      <c r="R22" s="16">
        <v>1220</v>
      </c>
      <c r="S22" s="15">
        <f>R22*1.15</f>
        <v>1403</v>
      </c>
      <c r="T22" s="29">
        <f>S22</f>
        <v>1403</v>
      </c>
      <c r="U22" s="29">
        <f>T22</f>
        <v>1403</v>
      </c>
      <c r="V22" s="29">
        <f>U22</f>
        <v>1403</v>
      </c>
      <c r="W22" s="29">
        <f>V22</f>
        <v>1403</v>
      </c>
      <c r="X22" s="29">
        <f>W22</f>
        <v>1403</v>
      </c>
      <c r="Y22" s="29">
        <f>X22</f>
        <v>1403</v>
      </c>
      <c r="Z22" s="29">
        <f>Y22</f>
        <v>1403</v>
      </c>
      <c r="AA22" s="29">
        <f>Z22</f>
        <v>1403</v>
      </c>
      <c r="AB22" s="29">
        <f>AA22</f>
        <v>1403</v>
      </c>
      <c r="AC22" s="29">
        <f>AB22</f>
        <v>1403</v>
      </c>
      <c r="AD22" s="29">
        <f>AC22</f>
        <v>1403</v>
      </c>
      <c r="AE22" s="29">
        <f>AD22</f>
        <v>1403</v>
      </c>
      <c r="AF22" s="29">
        <f>AE22</f>
        <v>1403</v>
      </c>
      <c r="AG22" s="29">
        <v>1403</v>
      </c>
      <c r="AH22" s="29">
        <v>1403</v>
      </c>
      <c r="AI22" s="29">
        <v>1403</v>
      </c>
      <c r="AJ22" s="23">
        <v>1100</v>
      </c>
      <c r="AK22" s="23">
        <v>1100</v>
      </c>
      <c r="AL22" s="23">
        <v>1100</v>
      </c>
      <c r="AM22" s="23">
        <v>1100</v>
      </c>
      <c r="AN22" s="23">
        <v>1100</v>
      </c>
      <c r="AO22" s="23">
        <v>1100</v>
      </c>
      <c r="AP22" s="23">
        <v>1100</v>
      </c>
      <c r="AQ22" s="23">
        <v>1100</v>
      </c>
      <c r="AR22" s="23">
        <v>1100</v>
      </c>
      <c r="AS22" s="23">
        <v>1100</v>
      </c>
      <c r="AT22" s="23" t="s">
        <v>3</v>
      </c>
      <c r="AU22" s="23"/>
      <c r="AV22" s="23"/>
      <c r="AW22" s="14"/>
      <c r="AX22" s="14"/>
      <c r="AY22" s="14"/>
      <c r="AZ22" s="14"/>
      <c r="BA22" s="14"/>
      <c r="BB22" s="14" t="s">
        <v>268</v>
      </c>
    </row>
    <row r="23" spans="1:54" ht="15.75" customHeight="1" x14ac:dyDescent="0.35">
      <c r="A23" s="14">
        <v>1132742696</v>
      </c>
      <c r="B23" s="14">
        <v>362</v>
      </c>
      <c r="C23" s="14"/>
      <c r="D23" s="14" t="s">
        <v>181</v>
      </c>
      <c r="E23" s="14" t="s">
        <v>182</v>
      </c>
      <c r="F23" s="15">
        <v>490</v>
      </c>
      <c r="G23" s="15">
        <v>490</v>
      </c>
      <c r="H23" s="15">
        <v>490</v>
      </c>
      <c r="I23" s="15">
        <v>490</v>
      </c>
      <c r="J23" s="15">
        <v>490</v>
      </c>
      <c r="K23" s="15">
        <v>490</v>
      </c>
      <c r="L23" s="15">
        <v>490</v>
      </c>
      <c r="M23" s="15">
        <v>490</v>
      </c>
      <c r="N23" s="15">
        <v>490</v>
      </c>
      <c r="O23" s="15">
        <v>490</v>
      </c>
      <c r="P23" s="15">
        <v>490</v>
      </c>
      <c r="Q23" s="15">
        <v>490</v>
      </c>
      <c r="R23" s="16">
        <v>490</v>
      </c>
      <c r="S23" s="15">
        <v>490</v>
      </c>
      <c r="T23" s="15">
        <f>S23</f>
        <v>490</v>
      </c>
      <c r="U23" s="15">
        <f>T23</f>
        <v>490</v>
      </c>
      <c r="V23" s="15">
        <f>U23</f>
        <v>490</v>
      </c>
      <c r="W23" s="15">
        <f>V23</f>
        <v>490</v>
      </c>
      <c r="X23" s="15">
        <f>W23</f>
        <v>490</v>
      </c>
      <c r="Y23" s="15">
        <f>X23</f>
        <v>490</v>
      </c>
      <c r="Z23" s="15">
        <f>Y23</f>
        <v>490</v>
      </c>
      <c r="AA23" s="15">
        <f>Z23</f>
        <v>490</v>
      </c>
      <c r="AB23" s="15">
        <f>AA23</f>
        <v>490</v>
      </c>
      <c r="AC23" s="29">
        <f>AB23</f>
        <v>490</v>
      </c>
      <c r="AD23" s="29">
        <f>AC23</f>
        <v>490</v>
      </c>
      <c r="AE23" s="29">
        <f>AD23</f>
        <v>490</v>
      </c>
      <c r="AF23" s="29">
        <f>AE23</f>
        <v>490</v>
      </c>
      <c r="AG23" s="29">
        <f>AF23</f>
        <v>490</v>
      </c>
      <c r="AH23" s="29">
        <f>AG23</f>
        <v>490</v>
      </c>
      <c r="AI23" s="29">
        <f>AH23</f>
        <v>490</v>
      </c>
      <c r="AJ23" s="29">
        <f>AI23</f>
        <v>490</v>
      </c>
      <c r="AK23" s="29">
        <f>AJ23</f>
        <v>490</v>
      </c>
      <c r="AL23" s="29">
        <f>AK23</f>
        <v>490</v>
      </c>
      <c r="AM23" s="29">
        <f>AL23</f>
        <v>490</v>
      </c>
      <c r="AN23" s="29">
        <f>AM23</f>
        <v>490</v>
      </c>
      <c r="AO23" s="29">
        <f>AN23</f>
        <v>490</v>
      </c>
      <c r="AP23" s="29">
        <f>AO23</f>
        <v>490</v>
      </c>
      <c r="AQ23" s="29">
        <f>AP23</f>
        <v>490</v>
      </c>
      <c r="AR23" s="29">
        <f>AQ23</f>
        <v>490</v>
      </c>
      <c r="AS23" s="14" t="s">
        <v>3</v>
      </c>
      <c r="AT23" s="14"/>
      <c r="AU23" s="14"/>
      <c r="AV23" s="14"/>
      <c r="AW23" s="14"/>
      <c r="AX23" s="14"/>
      <c r="AY23" s="14"/>
      <c r="AZ23" s="14"/>
      <c r="BA23" s="14"/>
      <c r="BB23" s="2" t="s">
        <v>267</v>
      </c>
    </row>
    <row r="24" spans="1:54" ht="15.75" customHeight="1" x14ac:dyDescent="0.35">
      <c r="A24" s="14">
        <v>5070094210</v>
      </c>
      <c r="B24" s="14">
        <v>849</v>
      </c>
      <c r="C24" s="14" t="s">
        <v>282</v>
      </c>
      <c r="D24" s="14" t="s">
        <v>186</v>
      </c>
      <c r="E24" s="14" t="s">
        <v>187</v>
      </c>
      <c r="F24" s="14"/>
      <c r="G24" s="14"/>
      <c r="H24" s="14"/>
      <c r="I24" s="14"/>
      <c r="J24" s="14"/>
      <c r="K24" s="14"/>
      <c r="L24" s="15">
        <f>6/31*454</f>
        <v>87.870967741935488</v>
      </c>
      <c r="M24" s="15">
        <v>454</v>
      </c>
      <c r="N24" s="15">
        <v>454</v>
      </c>
      <c r="O24" s="15">
        <v>454</v>
      </c>
      <c r="P24" s="15">
        <v>454</v>
      </c>
      <c r="Q24" s="15">
        <v>454</v>
      </c>
      <c r="R24" s="16">
        <v>454</v>
      </c>
      <c r="S24" s="29">
        <f>R24*1.15</f>
        <v>522.09999999999991</v>
      </c>
      <c r="T24" s="15">
        <f>S24</f>
        <v>522.09999999999991</v>
      </c>
      <c r="U24" s="15">
        <f>T24</f>
        <v>522.09999999999991</v>
      </c>
      <c r="V24" s="15">
        <f>U24</f>
        <v>522.09999999999991</v>
      </c>
      <c r="W24" s="15">
        <f>V24</f>
        <v>522.09999999999991</v>
      </c>
      <c r="X24" s="15">
        <f>6/31*1044.2+25/31*522.1</f>
        <v>623.15161290322578</v>
      </c>
      <c r="Y24" s="15">
        <f>908*1.15</f>
        <v>1044.1999999999998</v>
      </c>
      <c r="Z24" s="15">
        <f>908*1.15</f>
        <v>1044.1999999999998</v>
      </c>
      <c r="AA24" s="15">
        <f>908*1.15</f>
        <v>1044.1999999999998</v>
      </c>
      <c r="AB24" s="15">
        <f>908*1.15</f>
        <v>1044.1999999999998</v>
      </c>
      <c r="AC24" s="29">
        <f>AB24</f>
        <v>1044.1999999999998</v>
      </c>
      <c r="AD24" s="29">
        <f>AC24</f>
        <v>1044.1999999999998</v>
      </c>
      <c r="AE24" s="29">
        <f>AD24</f>
        <v>1044.1999999999998</v>
      </c>
      <c r="AF24" s="29">
        <v>1044.1999999999998</v>
      </c>
      <c r="AG24" s="29">
        <v>1044.1999999999998</v>
      </c>
      <c r="AH24" s="29">
        <v>1044.1999999999998</v>
      </c>
      <c r="AI24" s="29">
        <v>1044.1999999999998</v>
      </c>
      <c r="AJ24" s="29">
        <v>1044.1999999999998</v>
      </c>
      <c r="AK24" s="29">
        <v>1044.1999999999998</v>
      </c>
      <c r="AL24" s="29">
        <v>1044.1999999999998</v>
      </c>
      <c r="AM24" s="29">
        <v>1044.1999999999998</v>
      </c>
      <c r="AN24" s="29">
        <v>1044.1999999999998</v>
      </c>
      <c r="AO24" s="29">
        <v>1044.1999999999998</v>
      </c>
      <c r="AP24" s="29">
        <v>1044.1999999999998</v>
      </c>
      <c r="AQ24" s="29">
        <v>1044.1999999999998</v>
      </c>
      <c r="AR24" s="26" t="s">
        <v>188</v>
      </c>
      <c r="AS24" s="26"/>
      <c r="AT24" s="14"/>
      <c r="AU24" s="14"/>
      <c r="AV24" s="14"/>
      <c r="AW24" s="14"/>
      <c r="AX24" s="14"/>
      <c r="AY24" s="14"/>
      <c r="AZ24" s="14"/>
      <c r="BA24" s="14"/>
      <c r="BB24" s="2" t="s">
        <v>288</v>
      </c>
    </row>
    <row r="25" spans="1:54" ht="15.75" customHeight="1" x14ac:dyDescent="0.35">
      <c r="A25" s="14">
        <v>5222928662</v>
      </c>
      <c r="B25" s="14">
        <v>33</v>
      </c>
      <c r="C25" s="14"/>
      <c r="D25" s="14" t="s">
        <v>177</v>
      </c>
      <c r="E25" s="14" t="s">
        <v>178</v>
      </c>
      <c r="F25" s="15">
        <f>300/1.23</f>
        <v>243.90243902439025</v>
      </c>
      <c r="G25" s="15">
        <f>300/1.23</f>
        <v>243.90243902439025</v>
      </c>
      <c r="H25" s="15">
        <f>300/1.23</f>
        <v>243.90243902439025</v>
      </c>
      <c r="I25" s="15">
        <f>300/1.23</f>
        <v>243.90243902439025</v>
      </c>
      <c r="J25" s="15">
        <f>300/1.23</f>
        <v>243.90243902439025</v>
      </c>
      <c r="K25" s="15">
        <f>300/1.23</f>
        <v>243.90243902439025</v>
      </c>
      <c r="L25" s="15">
        <f>300/1.23</f>
        <v>243.90243902439025</v>
      </c>
      <c r="M25" s="15">
        <f>300/1.23</f>
        <v>243.90243902439025</v>
      </c>
      <c r="N25" s="15">
        <f>300/1.23</f>
        <v>243.90243902439025</v>
      </c>
      <c r="O25" s="15">
        <f>300/1.23</f>
        <v>243.90243902439025</v>
      </c>
      <c r="P25" s="15">
        <f>300/1.23</f>
        <v>243.90243902439025</v>
      </c>
      <c r="Q25" s="15">
        <f>300/1.23</f>
        <v>243.90243902439025</v>
      </c>
      <c r="R25" s="16">
        <f>300/1.23</f>
        <v>243.90243902439025</v>
      </c>
      <c r="S25" s="20">
        <f>PRODUCT(R25*1.15)</f>
        <v>280.48780487804873</v>
      </c>
      <c r="T25" s="29">
        <f>S25</f>
        <v>280.48780487804873</v>
      </c>
      <c r="U25" s="29">
        <f>T25</f>
        <v>280.48780487804873</v>
      </c>
      <c r="V25" s="29">
        <f>U25</f>
        <v>280.48780487804873</v>
      </c>
      <c r="W25" s="29">
        <f>V25</f>
        <v>280.48780487804873</v>
      </c>
      <c r="X25" s="29">
        <f>W25</f>
        <v>280.48780487804873</v>
      </c>
      <c r="Y25" s="29">
        <f>X25</f>
        <v>280.48780487804873</v>
      </c>
      <c r="Z25" s="29">
        <f>Y25</f>
        <v>280.48780487804873</v>
      </c>
      <c r="AA25" s="29">
        <f>Z25</f>
        <v>280.48780487804873</v>
      </c>
      <c r="AB25" s="29">
        <f>AA25</f>
        <v>280.48780487804873</v>
      </c>
      <c r="AC25" s="29">
        <f>AB25</f>
        <v>280.48780487804873</v>
      </c>
      <c r="AD25" s="29">
        <f>AC25</f>
        <v>280.48780487804873</v>
      </c>
      <c r="AE25" s="29">
        <f>AD25</f>
        <v>280.48780487804873</v>
      </c>
      <c r="AF25" s="29">
        <f>AE25</f>
        <v>280.48780487804873</v>
      </c>
      <c r="AG25" s="29">
        <f>AF25</f>
        <v>280.48780487804873</v>
      </c>
      <c r="AH25" s="29">
        <f>AG25</f>
        <v>280.48780487804873</v>
      </c>
      <c r="AI25" s="29">
        <f>AH25</f>
        <v>280.48780487804873</v>
      </c>
      <c r="AJ25" s="29">
        <f>AI25</f>
        <v>280.48780487804873</v>
      </c>
      <c r="AK25" s="29">
        <v>280.48780487804873</v>
      </c>
      <c r="AL25" s="29">
        <v>280.48780487804873</v>
      </c>
      <c r="AM25" s="29">
        <v>280.48780487804873</v>
      </c>
      <c r="AN25" s="29">
        <v>280.48780487804873</v>
      </c>
      <c r="AO25" s="29">
        <v>280.48780487804873</v>
      </c>
      <c r="AP25" s="29">
        <v>280.48780487804873</v>
      </c>
      <c r="AQ25" s="29">
        <v>280.48780487804873</v>
      </c>
      <c r="AR25" s="29">
        <v>280.48780487804873</v>
      </c>
      <c r="AS25" s="26" t="s">
        <v>3</v>
      </c>
      <c r="AT25" s="26"/>
      <c r="AU25" s="26"/>
      <c r="AV25" s="14"/>
      <c r="AW25" s="14"/>
      <c r="AX25" s="14"/>
      <c r="AY25" s="14"/>
      <c r="AZ25" s="14"/>
      <c r="BA25" s="14"/>
      <c r="BB25" s="2" t="s">
        <v>267</v>
      </c>
    </row>
    <row r="26" spans="1:54" ht="15.75" customHeight="1" x14ac:dyDescent="0.35">
      <c r="A26" s="14">
        <v>5252800889</v>
      </c>
      <c r="B26" s="14">
        <v>580</v>
      </c>
      <c r="C26" s="14"/>
      <c r="D26" s="14" t="s">
        <v>172</v>
      </c>
      <c r="E26" s="14" t="s">
        <v>173</v>
      </c>
      <c r="F26" s="15">
        <v>1057</v>
      </c>
      <c r="G26" s="15">
        <v>1057</v>
      </c>
      <c r="H26" s="15">
        <v>1057</v>
      </c>
      <c r="I26" s="15">
        <v>1057</v>
      </c>
      <c r="J26" s="15">
        <v>1057</v>
      </c>
      <c r="K26" s="15">
        <v>1057</v>
      </c>
      <c r="L26" s="15">
        <v>1057</v>
      </c>
      <c r="M26" s="15">
        <v>1057</v>
      </c>
      <c r="N26" s="15">
        <v>1057</v>
      </c>
      <c r="O26" s="15">
        <v>1057</v>
      </c>
      <c r="P26" s="15">
        <v>1057</v>
      </c>
      <c r="Q26" s="15">
        <v>1057</v>
      </c>
      <c r="R26" s="16">
        <v>1057</v>
      </c>
      <c r="S26" s="15">
        <f>R26*1.15</f>
        <v>1215.55</v>
      </c>
      <c r="T26" s="29">
        <f>S26</f>
        <v>1215.55</v>
      </c>
      <c r="U26" s="29">
        <f>T26</f>
        <v>1215.55</v>
      </c>
      <c r="V26" s="29">
        <f>U26</f>
        <v>1215.55</v>
      </c>
      <c r="W26" s="29">
        <f>V26</f>
        <v>1215.55</v>
      </c>
      <c r="X26" s="29">
        <f>W26</f>
        <v>1215.55</v>
      </c>
      <c r="Y26" s="29">
        <f>X26</f>
        <v>1215.55</v>
      </c>
      <c r="Z26" s="29">
        <f>Y26</f>
        <v>1215.55</v>
      </c>
      <c r="AA26" s="29">
        <f>Z26</f>
        <v>1215.55</v>
      </c>
      <c r="AB26" s="29">
        <f>AA26</f>
        <v>1215.55</v>
      </c>
      <c r="AC26" s="29">
        <f>AB26</f>
        <v>1215.55</v>
      </c>
      <c r="AD26" s="29">
        <f>AC26</f>
        <v>1215.55</v>
      </c>
      <c r="AE26" s="29">
        <f>AD26</f>
        <v>1215.55</v>
      </c>
      <c r="AF26" s="29">
        <f>AE26</f>
        <v>1215.55</v>
      </c>
      <c r="AG26" s="29">
        <f>AF26</f>
        <v>1215.55</v>
      </c>
      <c r="AH26" s="29">
        <f>AG26</f>
        <v>1215.55</v>
      </c>
      <c r="AI26" s="26">
        <f>1215.55+20/30*169</f>
        <v>1328.2166666666667</v>
      </c>
      <c r="AJ26" s="29">
        <f>AH26+169</f>
        <v>1384.55</v>
      </c>
      <c r="AK26" s="29">
        <v>1384.55</v>
      </c>
      <c r="AL26" s="29">
        <f>AK26+7/30*169</f>
        <v>1423.9833333333333</v>
      </c>
      <c r="AM26" s="29">
        <f>AK26+169</f>
        <v>1553.55</v>
      </c>
      <c r="AN26" s="29">
        <v>1553.55</v>
      </c>
      <c r="AO26" s="29">
        <v>1553.55</v>
      </c>
      <c r="AP26" s="29">
        <f>AO26+159+159</f>
        <v>1871.55</v>
      </c>
      <c r="AQ26" s="29">
        <v>1871.55</v>
      </c>
      <c r="AR26" s="29">
        <v>1871.55</v>
      </c>
      <c r="AS26" s="26" t="s">
        <v>3</v>
      </c>
      <c r="AT26" s="14"/>
      <c r="AU26" s="14"/>
      <c r="AV26" s="14"/>
      <c r="AW26" s="14"/>
      <c r="AX26" s="14"/>
      <c r="AY26" s="14"/>
      <c r="AZ26" s="14"/>
      <c r="BA26" s="14"/>
      <c r="BB26" s="2" t="s">
        <v>267</v>
      </c>
    </row>
    <row r="27" spans="1:54" ht="15.75" customHeight="1" x14ac:dyDescent="0.35">
      <c r="A27" s="14">
        <v>6751209442</v>
      </c>
      <c r="B27" s="14">
        <v>534</v>
      </c>
      <c r="C27" s="14"/>
      <c r="D27" s="14" t="s">
        <v>192</v>
      </c>
      <c r="E27" s="14" t="s">
        <v>193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6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>
        <v>1951.22</v>
      </c>
      <c r="AQ27" s="29">
        <v>1951.22</v>
      </c>
      <c r="AR27" s="29">
        <v>1951.22</v>
      </c>
      <c r="AS27" s="14" t="s">
        <v>3</v>
      </c>
      <c r="AT27" s="14"/>
      <c r="AU27" s="14"/>
      <c r="AV27" s="14"/>
      <c r="AW27" s="14"/>
      <c r="AX27" s="14"/>
      <c r="AY27" s="14"/>
      <c r="AZ27" s="14"/>
      <c r="BA27" s="14"/>
      <c r="BB27" s="2" t="s">
        <v>267</v>
      </c>
    </row>
    <row r="28" spans="1:54" ht="15.75" customHeight="1" x14ac:dyDescent="0.35">
      <c r="A28" s="14">
        <v>8513208336</v>
      </c>
      <c r="B28" s="14">
        <v>812</v>
      </c>
      <c r="C28" s="14"/>
      <c r="D28" s="17" t="s">
        <v>195</v>
      </c>
      <c r="E28" s="14" t="s">
        <v>196</v>
      </c>
      <c r="F28" s="14"/>
      <c r="G28" s="14"/>
      <c r="H28" s="14"/>
      <c r="I28" s="15">
        <v>1006</v>
      </c>
      <c r="J28" s="15">
        <v>1006</v>
      </c>
      <c r="K28" s="15">
        <v>1006</v>
      </c>
      <c r="L28" s="15">
        <v>1006</v>
      </c>
      <c r="M28" s="15">
        <v>1006</v>
      </c>
      <c r="N28" s="15">
        <v>1006</v>
      </c>
      <c r="O28" s="15">
        <v>1006</v>
      </c>
      <c r="P28" s="15">
        <v>1006</v>
      </c>
      <c r="Q28" s="15">
        <v>1006</v>
      </c>
      <c r="R28" s="16">
        <v>1006</v>
      </c>
      <c r="S28" s="14">
        <f>PRODUCT(R28*1.15)</f>
        <v>1156.8999999999999</v>
      </c>
      <c r="T28" s="15">
        <f>S28</f>
        <v>1156.8999999999999</v>
      </c>
      <c r="U28" s="15">
        <f>T28</f>
        <v>1156.8999999999999</v>
      </c>
      <c r="V28" s="15">
        <f>U28</f>
        <v>1156.8999999999999</v>
      </c>
      <c r="W28" s="15">
        <f>V28</f>
        <v>1156.8999999999999</v>
      </c>
      <c r="X28" s="15">
        <f>W28</f>
        <v>1156.8999999999999</v>
      </c>
      <c r="Y28" s="15">
        <f>X28</f>
        <v>1156.8999999999999</v>
      </c>
      <c r="Z28" s="15">
        <f>Y28</f>
        <v>1156.8999999999999</v>
      </c>
      <c r="AA28" s="15">
        <f>Z28</f>
        <v>1156.8999999999999</v>
      </c>
      <c r="AB28" s="15">
        <f>AA28</f>
        <v>1156.8999999999999</v>
      </c>
      <c r="AC28" s="16">
        <f>AB28</f>
        <v>1156.8999999999999</v>
      </c>
      <c r="AD28" s="16">
        <f>AC28</f>
        <v>1156.8999999999999</v>
      </c>
      <c r="AE28" s="29">
        <f>AD28</f>
        <v>1156.8999999999999</v>
      </c>
      <c r="AF28" s="16">
        <f>AE28</f>
        <v>1156.8999999999999</v>
      </c>
      <c r="AG28" s="16">
        <f>AF28</f>
        <v>1156.8999999999999</v>
      </c>
      <c r="AH28" s="16">
        <f>AG28</f>
        <v>1156.8999999999999</v>
      </c>
      <c r="AI28" s="16">
        <f>AH28</f>
        <v>1156.8999999999999</v>
      </c>
      <c r="AJ28" s="16">
        <f>AI28</f>
        <v>1156.8999999999999</v>
      </c>
      <c r="AK28" s="16">
        <f>AJ28</f>
        <v>1156.8999999999999</v>
      </c>
      <c r="AL28" s="16">
        <f>AK28</f>
        <v>1156.8999999999999</v>
      </c>
      <c r="AM28" s="16">
        <f>AL28</f>
        <v>1156.8999999999999</v>
      </c>
      <c r="AN28" s="16">
        <f>AM28</f>
        <v>1156.8999999999999</v>
      </c>
      <c r="AO28" s="16">
        <v>1156.8999999999999</v>
      </c>
      <c r="AP28" s="16">
        <v>1156.8999999999999</v>
      </c>
      <c r="AQ28" s="16">
        <v>1156.8999999999999</v>
      </c>
      <c r="AR28" s="29">
        <v>1156.8999999999999</v>
      </c>
      <c r="AS28" s="14" t="s">
        <v>3</v>
      </c>
      <c r="AT28" s="14"/>
      <c r="AU28" s="14"/>
      <c r="AV28" s="14"/>
      <c r="AW28" s="14"/>
      <c r="AX28" s="14"/>
      <c r="AY28" s="14"/>
      <c r="AZ28" s="14"/>
      <c r="BA28" s="14"/>
      <c r="BB28" s="2" t="s">
        <v>267</v>
      </c>
    </row>
    <row r="29" spans="1:54" ht="15.75" customHeight="1" x14ac:dyDescent="0.35">
      <c r="A29" s="14">
        <v>8521777215</v>
      </c>
      <c r="B29" s="14">
        <v>357</v>
      </c>
      <c r="C29" s="14"/>
      <c r="D29" s="17" t="s">
        <v>190</v>
      </c>
      <c r="E29" s="14" t="s">
        <v>191</v>
      </c>
      <c r="F29" s="15">
        <v>1680</v>
      </c>
      <c r="G29" s="15">
        <v>1680</v>
      </c>
      <c r="H29" s="15">
        <v>1680</v>
      </c>
      <c r="I29" s="15">
        <v>1680</v>
      </c>
      <c r="J29" s="15">
        <v>1681</v>
      </c>
      <c r="K29" s="15">
        <v>1681</v>
      </c>
      <c r="L29" s="15">
        <v>1681</v>
      </c>
      <c r="M29" s="15">
        <v>1681</v>
      </c>
      <c r="N29" s="15">
        <v>1681</v>
      </c>
      <c r="O29" s="15">
        <v>1681</v>
      </c>
      <c r="P29" s="15">
        <v>1681</v>
      </c>
      <c r="Q29" s="15">
        <v>1681</v>
      </c>
      <c r="R29" s="16">
        <v>1681</v>
      </c>
      <c r="S29" s="15">
        <v>1681</v>
      </c>
      <c r="T29" s="15">
        <f>S29</f>
        <v>1681</v>
      </c>
      <c r="U29" s="15">
        <f>T29</f>
        <v>1681</v>
      </c>
      <c r="V29" s="15">
        <f>U29</f>
        <v>1681</v>
      </c>
      <c r="W29" s="15">
        <f>V29</f>
        <v>1681</v>
      </c>
      <c r="X29" s="15">
        <f>W29</f>
        <v>1681</v>
      </c>
      <c r="Y29" s="15">
        <f>X29</f>
        <v>1681</v>
      </c>
      <c r="Z29" s="15">
        <v>1680</v>
      </c>
      <c r="AA29" s="15">
        <v>1680</v>
      </c>
      <c r="AB29" s="15">
        <v>1680</v>
      </c>
      <c r="AC29" s="29">
        <f>AB29</f>
        <v>1680</v>
      </c>
      <c r="AD29" s="29">
        <f>AC29</f>
        <v>1680</v>
      </c>
      <c r="AE29" s="29">
        <f>AD29</f>
        <v>1680</v>
      </c>
      <c r="AF29" s="29">
        <f>AE29</f>
        <v>1680</v>
      </c>
      <c r="AG29" s="29">
        <f>AF29</f>
        <v>1680</v>
      </c>
      <c r="AH29" s="29">
        <f>AG29</f>
        <v>1680</v>
      </c>
      <c r="AI29" s="29">
        <f>AH29</f>
        <v>1680</v>
      </c>
      <c r="AJ29" s="29">
        <f>AI29</f>
        <v>1680</v>
      </c>
      <c r="AK29" s="29">
        <f>AJ29</f>
        <v>1680</v>
      </c>
      <c r="AL29" s="29">
        <f>AK29</f>
        <v>1680</v>
      </c>
      <c r="AM29" s="29">
        <f>AL29</f>
        <v>1680</v>
      </c>
      <c r="AN29" s="29">
        <f>AM29</f>
        <v>1680</v>
      </c>
      <c r="AO29" s="29">
        <f>AN29</f>
        <v>1680</v>
      </c>
      <c r="AP29" s="29">
        <f>AO29</f>
        <v>1680</v>
      </c>
      <c r="AQ29" s="29">
        <f>AP29</f>
        <v>1680</v>
      </c>
      <c r="AR29" s="29">
        <f>AQ29</f>
        <v>1680</v>
      </c>
      <c r="AS29" s="29" t="s">
        <v>3</v>
      </c>
      <c r="AT29" s="26"/>
      <c r="AU29" s="26"/>
      <c r="AV29" s="26"/>
      <c r="AW29" s="26"/>
      <c r="AX29" s="14"/>
      <c r="AY29" s="14"/>
      <c r="AZ29" s="14"/>
      <c r="BA29" s="14"/>
      <c r="BB29" s="2" t="s">
        <v>267</v>
      </c>
    </row>
    <row r="30" spans="1:54" ht="15.75" customHeight="1" x14ac:dyDescent="0.35">
      <c r="A30" s="14">
        <v>8992770431</v>
      </c>
      <c r="B30" s="14">
        <v>523</v>
      </c>
      <c r="C30" s="14"/>
      <c r="D30" s="17" t="s">
        <v>197</v>
      </c>
      <c r="E30" s="14" t="s">
        <v>198</v>
      </c>
      <c r="F30" s="14"/>
      <c r="G30" s="14"/>
      <c r="H30" s="14"/>
      <c r="I30" s="15">
        <f>23/30*1628</f>
        <v>1248.1333333333334</v>
      </c>
      <c r="J30" s="15">
        <v>1628</v>
      </c>
      <c r="K30" s="15">
        <v>1628</v>
      </c>
      <c r="L30" s="15">
        <v>1628</v>
      </c>
      <c r="M30" s="15">
        <v>1628</v>
      </c>
      <c r="N30" s="15">
        <v>1628</v>
      </c>
      <c r="O30" s="15">
        <v>1628</v>
      </c>
      <c r="P30" s="15">
        <v>1628</v>
      </c>
      <c r="Q30" s="15">
        <v>1628</v>
      </c>
      <c r="R30" s="16">
        <f>Q30*1.15</f>
        <v>1872.1999999999998</v>
      </c>
      <c r="S30" s="15">
        <f>R30</f>
        <v>1872.1999999999998</v>
      </c>
      <c r="T30" s="15">
        <f>S30</f>
        <v>1872.1999999999998</v>
      </c>
      <c r="U30" s="15">
        <f>T30</f>
        <v>1872.1999999999998</v>
      </c>
      <c r="V30" s="15">
        <f>U30</f>
        <v>1872.1999999999998</v>
      </c>
      <c r="W30" s="15">
        <f>V30</f>
        <v>1872.1999999999998</v>
      </c>
      <c r="X30" s="29">
        <f>W30</f>
        <v>1872.1999999999998</v>
      </c>
      <c r="Y30" s="29">
        <f>X30</f>
        <v>1872.1999999999998</v>
      </c>
      <c r="Z30" s="29">
        <f>Y30</f>
        <v>1872.1999999999998</v>
      </c>
      <c r="AA30" s="29">
        <f>Z30</f>
        <v>1872.1999999999998</v>
      </c>
      <c r="AB30" s="29">
        <f>AA30</f>
        <v>1872.1999999999998</v>
      </c>
      <c r="AC30" s="29">
        <f>AB30</f>
        <v>1872.1999999999998</v>
      </c>
      <c r="AD30" s="29">
        <f>AC30</f>
        <v>1872.1999999999998</v>
      </c>
      <c r="AE30" s="29">
        <f>AD30</f>
        <v>1872.1999999999998</v>
      </c>
      <c r="AF30" s="29">
        <f>AE30</f>
        <v>1872.1999999999998</v>
      </c>
      <c r="AG30" s="29">
        <f>AF30</f>
        <v>1872.1999999999998</v>
      </c>
      <c r="AH30" s="29">
        <f>AG30</f>
        <v>1872.1999999999998</v>
      </c>
      <c r="AI30" s="29">
        <f>AH30</f>
        <v>1872.1999999999998</v>
      </c>
      <c r="AJ30" s="29">
        <f>AI30</f>
        <v>1872.1999999999998</v>
      </c>
      <c r="AK30" s="29">
        <f>AJ30</f>
        <v>1872.1999999999998</v>
      </c>
      <c r="AL30" s="29">
        <f>AK30</f>
        <v>1872.1999999999998</v>
      </c>
      <c r="AM30" s="29">
        <f>AL30</f>
        <v>1872.1999999999998</v>
      </c>
      <c r="AN30" s="29">
        <f>AM30</f>
        <v>1872.1999999999998</v>
      </c>
      <c r="AO30" s="29">
        <v>1872.1999999999998</v>
      </c>
      <c r="AP30" s="29">
        <v>1872.1999999999998</v>
      </c>
      <c r="AQ30" s="29">
        <v>1872.1999999999998</v>
      </c>
      <c r="AR30" s="29">
        <v>1872.1999999999998</v>
      </c>
      <c r="AS30" s="14" t="s">
        <v>3</v>
      </c>
      <c r="AT30" s="14"/>
      <c r="AU30" s="14"/>
      <c r="AV30" s="14"/>
      <c r="AW30" s="14"/>
      <c r="AX30" s="14"/>
      <c r="AY30" s="14"/>
      <c r="AZ30" s="14"/>
      <c r="BA30" s="14"/>
      <c r="BB30" s="14" t="s">
        <v>267</v>
      </c>
    </row>
    <row r="31" spans="1:54" ht="15.75" customHeight="1" x14ac:dyDescent="0.35">
      <c r="A31" s="14">
        <v>9552376162</v>
      </c>
      <c r="B31" s="14">
        <v>345</v>
      </c>
      <c r="C31" s="14"/>
      <c r="D31" s="14" t="s">
        <v>169</v>
      </c>
      <c r="E31" s="14" t="s">
        <v>170</v>
      </c>
      <c r="F31" s="15">
        <v>625</v>
      </c>
      <c r="G31" s="15">
        <v>625</v>
      </c>
      <c r="H31" s="15">
        <v>625</v>
      </c>
      <c r="I31" s="15">
        <v>625</v>
      </c>
      <c r="J31" s="15">
        <v>625</v>
      </c>
      <c r="K31" s="15">
        <v>625</v>
      </c>
      <c r="L31" s="15">
        <v>625</v>
      </c>
      <c r="M31" s="15">
        <v>625</v>
      </c>
      <c r="N31" s="15">
        <v>625</v>
      </c>
      <c r="O31" s="15">
        <v>625</v>
      </c>
      <c r="P31" s="15">
        <v>625</v>
      </c>
      <c r="Q31" s="15">
        <v>625</v>
      </c>
      <c r="R31" s="16">
        <v>625</v>
      </c>
      <c r="S31" s="26">
        <f>PRODUCT(R31*1.15)</f>
        <v>718.75</v>
      </c>
      <c r="T31" s="15">
        <f>S31</f>
        <v>718.75</v>
      </c>
      <c r="U31" s="15">
        <f>T31</f>
        <v>718.75</v>
      </c>
      <c r="V31" s="15">
        <f>U31</f>
        <v>718.75</v>
      </c>
      <c r="W31" s="15">
        <f>V31</f>
        <v>718.75</v>
      </c>
      <c r="X31" s="15">
        <f>W31</f>
        <v>718.75</v>
      </c>
      <c r="Y31" s="15">
        <f>X31</f>
        <v>718.75</v>
      </c>
      <c r="Z31" s="15">
        <f>Y31</f>
        <v>718.75</v>
      </c>
      <c r="AA31" s="15">
        <f>Z31</f>
        <v>718.75</v>
      </c>
      <c r="AB31" s="15">
        <f>AA31</f>
        <v>718.75</v>
      </c>
      <c r="AC31" s="29">
        <f>AB31</f>
        <v>718.75</v>
      </c>
      <c r="AD31" s="29">
        <f>AC31</f>
        <v>718.75</v>
      </c>
      <c r="AE31" s="29">
        <f>AD31</f>
        <v>718.75</v>
      </c>
      <c r="AF31" s="29">
        <f>AE31</f>
        <v>718.75</v>
      </c>
      <c r="AG31" s="29">
        <f>AF31</f>
        <v>718.75</v>
      </c>
      <c r="AH31" s="29">
        <f>AG31</f>
        <v>718.75</v>
      </c>
      <c r="AI31" s="29">
        <f>AH31</f>
        <v>718.75</v>
      </c>
      <c r="AJ31" s="29">
        <f>AI31</f>
        <v>718.75</v>
      </c>
      <c r="AK31" s="29">
        <f>AJ31</f>
        <v>718.75</v>
      </c>
      <c r="AL31" s="29">
        <f>AK31</f>
        <v>718.75</v>
      </c>
      <c r="AM31" s="29">
        <f>AL31</f>
        <v>718.75</v>
      </c>
      <c r="AN31" s="29">
        <f>AM31</f>
        <v>718.75</v>
      </c>
      <c r="AO31" s="29">
        <f>AN31</f>
        <v>718.75</v>
      </c>
      <c r="AP31" s="29">
        <f>AO31</f>
        <v>718.75</v>
      </c>
      <c r="AQ31" s="29">
        <f>AP31</f>
        <v>718.75</v>
      </c>
      <c r="AR31" s="26" t="s">
        <v>171</v>
      </c>
      <c r="AS31" s="14"/>
      <c r="AT31" s="14"/>
      <c r="AU31" s="14"/>
      <c r="AV31" s="14"/>
      <c r="AW31" s="14"/>
      <c r="AX31" s="14"/>
      <c r="AY31" s="14"/>
      <c r="AZ31" s="14"/>
      <c r="BA31" s="14"/>
      <c r="BB31" s="14" t="s">
        <v>288</v>
      </c>
    </row>
    <row r="32" spans="1:54" ht="15.75" customHeight="1" x14ac:dyDescent="0.35">
      <c r="A32" s="14">
        <v>5272523080</v>
      </c>
      <c r="B32" s="14">
        <v>862</v>
      </c>
      <c r="C32" s="14"/>
      <c r="D32" s="14" t="s">
        <v>184</v>
      </c>
      <c r="E32" s="14" t="s">
        <v>185</v>
      </c>
      <c r="F32" s="14"/>
      <c r="G32" s="14"/>
      <c r="H32" s="14"/>
      <c r="I32" s="14"/>
      <c r="J32" s="14"/>
      <c r="K32" s="14"/>
      <c r="L32" s="14"/>
      <c r="M32" s="15">
        <f>20/31*830</f>
        <v>535.48387096774195</v>
      </c>
      <c r="N32" s="15">
        <v>830</v>
      </c>
      <c r="O32" s="15">
        <v>830</v>
      </c>
      <c r="P32" s="15">
        <f>0.645*1116+0.355*830</f>
        <v>1014.47</v>
      </c>
      <c r="Q32" s="15">
        <v>1116</v>
      </c>
      <c r="R32" s="16">
        <v>1116</v>
      </c>
      <c r="S32" s="14">
        <f>PRODUCT(R32*1.15)</f>
        <v>1283.3999999999999</v>
      </c>
      <c r="T32" s="15">
        <f>S32</f>
        <v>1283.3999999999999</v>
      </c>
      <c r="U32" s="15">
        <f>T32</f>
        <v>1283.3999999999999</v>
      </c>
      <c r="V32" s="15">
        <f>U32</f>
        <v>1283.3999999999999</v>
      </c>
      <c r="W32" s="15">
        <f>V32</f>
        <v>1283.3999999999999</v>
      </c>
      <c r="X32" s="15">
        <f>W32</f>
        <v>1283.3999999999999</v>
      </c>
      <c r="Y32" s="15">
        <f>X32</f>
        <v>1283.3999999999999</v>
      </c>
      <c r="Z32" s="15">
        <f>Y32</f>
        <v>1283.3999999999999</v>
      </c>
      <c r="AA32" s="15">
        <f>Z32</f>
        <v>1283.3999999999999</v>
      </c>
      <c r="AB32" s="15">
        <f>AA32</f>
        <v>1283.3999999999999</v>
      </c>
      <c r="AC32" s="29">
        <f>AB32</f>
        <v>1283.3999999999999</v>
      </c>
      <c r="AD32" s="29">
        <f>AC32</f>
        <v>1283.3999999999999</v>
      </c>
      <c r="AE32" s="29">
        <f>AD32</f>
        <v>1283.3999999999999</v>
      </c>
      <c r="AF32" s="29">
        <v>1283.3999999999999</v>
      </c>
      <c r="AG32" s="29">
        <v>1283.3999999999999</v>
      </c>
      <c r="AH32" s="29">
        <v>1283.3999999999999</v>
      </c>
      <c r="AI32" s="29">
        <v>1283.3999999999999</v>
      </c>
      <c r="AJ32" s="29">
        <v>1283.3999999999999</v>
      </c>
      <c r="AK32" s="29">
        <v>1283.3999999999999</v>
      </c>
      <c r="AL32" s="29">
        <v>1283.3999999999999</v>
      </c>
      <c r="AM32" s="29">
        <v>1283.3999999999999</v>
      </c>
      <c r="AN32" s="29">
        <v>1283.3999999999999</v>
      </c>
      <c r="AO32" s="29">
        <v>1283.3999999999999</v>
      </c>
      <c r="AP32" s="29">
        <v>1283.3999999999999</v>
      </c>
      <c r="AQ32" s="29">
        <v>1283.3999999999999</v>
      </c>
      <c r="AR32" s="14" t="s">
        <v>3</v>
      </c>
      <c r="AS32" s="14"/>
      <c r="AT32" s="14"/>
      <c r="AU32" s="14"/>
      <c r="AV32" s="14"/>
      <c r="AW32" s="14"/>
      <c r="AX32" s="14"/>
      <c r="AY32" s="14"/>
      <c r="AZ32" s="14"/>
      <c r="BA32" s="14"/>
      <c r="BB32" s="2" t="s">
        <v>266</v>
      </c>
    </row>
    <row r="33" spans="1:54" ht="15.75" customHeight="1" x14ac:dyDescent="0.35">
      <c r="A33" s="14">
        <v>9521356916</v>
      </c>
      <c r="B33" s="14">
        <v>707</v>
      </c>
      <c r="C33" s="14"/>
      <c r="D33" s="14" t="s">
        <v>167</v>
      </c>
      <c r="E33" s="14" t="s">
        <v>168</v>
      </c>
      <c r="F33" s="15">
        <f>1483</f>
        <v>1483</v>
      </c>
      <c r="G33" s="15">
        <f>1483</f>
        <v>1483</v>
      </c>
      <c r="H33" s="15">
        <f>1483</f>
        <v>1483</v>
      </c>
      <c r="I33" s="15">
        <f>1483+159</f>
        <v>1642</v>
      </c>
      <c r="J33" s="15">
        <f>1483+159</f>
        <v>1642</v>
      </c>
      <c r="K33" s="15">
        <f>1483+159</f>
        <v>1642</v>
      </c>
      <c r="L33" s="15">
        <f>1483+159</f>
        <v>1642</v>
      </c>
      <c r="M33" s="15">
        <f>1483+159</f>
        <v>1642</v>
      </c>
      <c r="N33" s="15">
        <f>1483+159</f>
        <v>1642</v>
      </c>
      <c r="O33" s="15">
        <f>1483+159</f>
        <v>1642</v>
      </c>
      <c r="P33" s="15">
        <f>1483+159</f>
        <v>1642</v>
      </c>
      <c r="Q33" s="15">
        <f>(1483+159+159)*0.9</f>
        <v>1620.9</v>
      </c>
      <c r="R33" s="16">
        <f>1483+159+159</f>
        <v>1801</v>
      </c>
      <c r="S33" s="14">
        <f>R33*1.15</f>
        <v>2071.1499999999996</v>
      </c>
      <c r="T33" s="15">
        <f>S33</f>
        <v>2071.1499999999996</v>
      </c>
      <c r="U33" s="15">
        <f>T33</f>
        <v>2071.1499999999996</v>
      </c>
      <c r="V33" s="15">
        <f>U33</f>
        <v>2071.1499999999996</v>
      </c>
      <c r="W33" s="15">
        <f>V33</f>
        <v>2071.1499999999996</v>
      </c>
      <c r="X33" s="15">
        <f>W33</f>
        <v>2071.1499999999996</v>
      </c>
      <c r="Y33" s="15">
        <f>X33</f>
        <v>2071.1499999999996</v>
      </c>
      <c r="Z33" s="15">
        <f>Y33</f>
        <v>2071.1499999999996</v>
      </c>
      <c r="AA33" s="15">
        <f>Z33</f>
        <v>2071.1499999999996</v>
      </c>
      <c r="AB33" s="15">
        <f>AA33</f>
        <v>2071.1499999999996</v>
      </c>
      <c r="AC33" s="29">
        <f>AB33</f>
        <v>2071.1499999999996</v>
      </c>
      <c r="AD33" s="29">
        <f>AC33</f>
        <v>2071.1499999999996</v>
      </c>
      <c r="AE33" s="29">
        <f>AD33</f>
        <v>2071.1499999999996</v>
      </c>
      <c r="AF33" s="29">
        <f>AE33</f>
        <v>2071.1499999999996</v>
      </c>
      <c r="AG33" s="29">
        <f>AF33</f>
        <v>2071.1499999999996</v>
      </c>
      <c r="AH33" s="29">
        <f>AG33</f>
        <v>2071.1499999999996</v>
      </c>
      <c r="AI33" s="29">
        <f>AH33</f>
        <v>2071.1499999999996</v>
      </c>
      <c r="AJ33" s="29">
        <f>AI33</f>
        <v>2071.1499999999996</v>
      </c>
      <c r="AK33" s="29">
        <f>AJ33</f>
        <v>2071.1499999999996</v>
      </c>
      <c r="AL33" s="29">
        <f>AK33</f>
        <v>2071.1499999999996</v>
      </c>
      <c r="AM33" s="29">
        <f>AL33</f>
        <v>2071.1499999999996</v>
      </c>
      <c r="AN33" s="29">
        <f>AM33</f>
        <v>2071.1499999999996</v>
      </c>
      <c r="AO33" s="29">
        <f>AN33</f>
        <v>2071.1499999999996</v>
      </c>
      <c r="AP33" s="29">
        <f>AO33</f>
        <v>2071.1499999999996</v>
      </c>
      <c r="AQ33" s="29">
        <f>AP33</f>
        <v>2071.1499999999996</v>
      </c>
      <c r="AR33" s="14" t="s">
        <v>3</v>
      </c>
      <c r="AS33" s="14"/>
      <c r="AT33" s="14"/>
      <c r="AU33" s="14"/>
      <c r="AV33" s="14"/>
      <c r="AW33" s="14"/>
      <c r="AX33" s="14"/>
      <c r="AY33" s="14"/>
      <c r="AZ33" s="14"/>
      <c r="BA33" s="14"/>
      <c r="BB33" s="14" t="s">
        <v>266</v>
      </c>
    </row>
    <row r="34" spans="1:54" ht="18.75" customHeight="1" x14ac:dyDescent="0.35">
      <c r="A34" s="14">
        <v>1133042357</v>
      </c>
      <c r="B34" s="14">
        <v>1000000048</v>
      </c>
      <c r="C34" s="14"/>
      <c r="D34" s="14" t="s">
        <v>157</v>
      </c>
      <c r="E34" s="14" t="s">
        <v>158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26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23">
        <f>17/31*1672</f>
        <v>916.90322580645159</v>
      </c>
      <c r="AD34" s="23">
        <v>1672</v>
      </c>
      <c r="AE34" s="23">
        <v>1672</v>
      </c>
      <c r="AF34" s="23">
        <v>1672</v>
      </c>
      <c r="AG34" s="23">
        <v>1672</v>
      </c>
      <c r="AH34" s="23">
        <v>1672</v>
      </c>
      <c r="AI34" s="23">
        <v>1672</v>
      </c>
      <c r="AJ34" s="23">
        <v>1672</v>
      </c>
      <c r="AK34" s="23">
        <v>1672</v>
      </c>
      <c r="AL34" s="19">
        <v>1672</v>
      </c>
      <c r="AM34" s="19">
        <v>1672</v>
      </c>
      <c r="AN34" s="19">
        <v>1672</v>
      </c>
      <c r="AO34" s="19">
        <v>1672</v>
      </c>
      <c r="AP34" s="19">
        <v>1672</v>
      </c>
      <c r="AQ34" s="14" t="s">
        <v>3</v>
      </c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2" t="s">
        <v>265</v>
      </c>
    </row>
    <row r="35" spans="1:54" ht="15.75" customHeight="1" x14ac:dyDescent="0.35">
      <c r="A35" s="14">
        <v>5840358054</v>
      </c>
      <c r="B35" s="14">
        <v>745</v>
      </c>
      <c r="C35" s="14"/>
      <c r="D35" s="14" t="s">
        <v>154</v>
      </c>
      <c r="E35" s="14" t="s">
        <v>155</v>
      </c>
      <c r="F35" s="15">
        <v>1000</v>
      </c>
      <c r="G35" s="15">
        <v>1000</v>
      </c>
      <c r="H35" s="15">
        <v>1000</v>
      </c>
      <c r="I35" s="15">
        <v>1000</v>
      </c>
      <c r="J35" s="15">
        <v>1000</v>
      </c>
      <c r="K35" s="15">
        <v>1000</v>
      </c>
      <c r="L35" s="15">
        <v>1000</v>
      </c>
      <c r="M35" s="15">
        <v>1000</v>
      </c>
      <c r="N35" s="15">
        <v>1000</v>
      </c>
      <c r="O35" s="15">
        <v>1000</v>
      </c>
      <c r="P35" s="15">
        <v>1000</v>
      </c>
      <c r="Q35" s="15">
        <v>1000</v>
      </c>
      <c r="R35" s="16">
        <v>1000</v>
      </c>
      <c r="S35" s="15">
        <v>1000</v>
      </c>
      <c r="T35" s="15">
        <f>S35</f>
        <v>1000</v>
      </c>
      <c r="U35" s="15">
        <f>T35</f>
        <v>1000</v>
      </c>
      <c r="V35" s="15">
        <f>U35</f>
        <v>1000</v>
      </c>
      <c r="W35" s="15">
        <f>V35</f>
        <v>1000</v>
      </c>
      <c r="X35" s="15">
        <f>W35</f>
        <v>1000</v>
      </c>
      <c r="Y35" s="15">
        <f>X35</f>
        <v>1000</v>
      </c>
      <c r="Z35" s="15">
        <f>Y35</f>
        <v>1000</v>
      </c>
      <c r="AA35" s="15">
        <f>Z35</f>
        <v>1000</v>
      </c>
      <c r="AB35" s="15">
        <f>AA35</f>
        <v>1000</v>
      </c>
      <c r="AC35" s="29">
        <f>AB35</f>
        <v>1000</v>
      </c>
      <c r="AD35" s="29">
        <f>AC35</f>
        <v>1000</v>
      </c>
      <c r="AE35" s="29">
        <f>AD35</f>
        <v>1000</v>
      </c>
      <c r="AF35" s="29">
        <f>AE35</f>
        <v>1000</v>
      </c>
      <c r="AG35" s="29">
        <f>AF35</f>
        <v>1000</v>
      </c>
      <c r="AH35" s="29">
        <f>AG35</f>
        <v>1000</v>
      </c>
      <c r="AI35" s="29">
        <f>AH35</f>
        <v>1000</v>
      </c>
      <c r="AJ35" s="29">
        <f>AI35</f>
        <v>1000</v>
      </c>
      <c r="AK35" s="29">
        <f>AJ35</f>
        <v>1000</v>
      </c>
      <c r="AL35" s="29">
        <f>AK35</f>
        <v>1000</v>
      </c>
      <c r="AM35" s="29">
        <f>AL35</f>
        <v>1000</v>
      </c>
      <c r="AN35" s="29">
        <f>AM35</f>
        <v>1000</v>
      </c>
      <c r="AO35" s="29">
        <f>AN35</f>
        <v>1000</v>
      </c>
      <c r="AP35" s="29" t="s">
        <v>156</v>
      </c>
      <c r="BB35" s="2" t="s">
        <v>265</v>
      </c>
    </row>
    <row r="36" spans="1:54" ht="18.75" customHeight="1" x14ac:dyDescent="0.35">
      <c r="A36" s="14">
        <v>6312291826</v>
      </c>
      <c r="B36" s="14"/>
      <c r="C36" s="14"/>
      <c r="D36" s="14" t="s">
        <v>176</v>
      </c>
      <c r="E36" s="14" t="s">
        <v>176</v>
      </c>
      <c r="F36" s="25">
        <v>459</v>
      </c>
      <c r="G36" s="25">
        <v>459</v>
      </c>
      <c r="H36" s="25">
        <v>459</v>
      </c>
      <c r="I36" s="25">
        <v>459</v>
      </c>
      <c r="J36" s="25">
        <v>459</v>
      </c>
      <c r="K36" s="25">
        <v>459</v>
      </c>
      <c r="L36" s="25">
        <v>459</v>
      </c>
      <c r="M36" s="25">
        <v>459</v>
      </c>
      <c r="N36" s="25">
        <v>459</v>
      </c>
      <c r="O36" s="25">
        <v>459</v>
      </c>
      <c r="P36" s="25">
        <v>459</v>
      </c>
      <c r="Q36" s="25">
        <v>459</v>
      </c>
      <c r="R36" s="35">
        <v>459</v>
      </c>
      <c r="S36" s="25">
        <v>459</v>
      </c>
      <c r="T36" s="25">
        <v>459</v>
      </c>
      <c r="U36" s="25">
        <v>459</v>
      </c>
      <c r="V36" s="25">
        <v>459</v>
      </c>
      <c r="W36" s="25">
        <f>V36</f>
        <v>459</v>
      </c>
      <c r="X36" s="25">
        <f>W36</f>
        <v>459</v>
      </c>
      <c r="Y36" s="25">
        <f>X36</f>
        <v>459</v>
      </c>
      <c r="Z36" s="25">
        <f>Y36</f>
        <v>459</v>
      </c>
      <c r="AA36" s="25">
        <f>Z36</f>
        <v>459</v>
      </c>
      <c r="AB36" s="25">
        <f>AA36</f>
        <v>459</v>
      </c>
      <c r="AC36" s="37">
        <f>AB36</f>
        <v>459</v>
      </c>
      <c r="AD36" s="37">
        <f>AC36</f>
        <v>459</v>
      </c>
      <c r="AE36" s="37">
        <f>AD36</f>
        <v>459</v>
      </c>
      <c r="AF36" s="37">
        <f>AE36</f>
        <v>459</v>
      </c>
      <c r="AG36" s="37">
        <f>AF36</f>
        <v>459</v>
      </c>
      <c r="AH36" s="37">
        <f>AG36</f>
        <v>459</v>
      </c>
      <c r="AI36" s="37">
        <f>AH36</f>
        <v>459</v>
      </c>
      <c r="AJ36" s="37">
        <f>AI36</f>
        <v>459</v>
      </c>
      <c r="AK36" s="37">
        <f>AJ36</f>
        <v>459</v>
      </c>
      <c r="AL36" s="37">
        <f>AK36</f>
        <v>459</v>
      </c>
      <c r="AM36" s="37">
        <f>AL36</f>
        <v>459</v>
      </c>
      <c r="AN36" s="37">
        <f>AM36</f>
        <v>459</v>
      </c>
      <c r="AO36" s="37">
        <f>AN36</f>
        <v>459</v>
      </c>
      <c r="AP36" s="37" t="s">
        <v>3</v>
      </c>
      <c r="AQ36" s="37"/>
      <c r="AR36" s="26"/>
      <c r="AS36" s="26"/>
      <c r="AT36" s="26"/>
      <c r="AU36" s="26"/>
      <c r="AV36" s="26"/>
      <c r="AW36" s="26"/>
      <c r="AX36" s="26"/>
      <c r="AY36" s="14"/>
      <c r="AZ36" s="14"/>
      <c r="BA36" s="14"/>
      <c r="BB36" s="2" t="s">
        <v>292</v>
      </c>
    </row>
    <row r="37" spans="1:54" ht="18.75" customHeight="1" x14ac:dyDescent="0.35">
      <c r="A37" s="14">
        <v>6751209442</v>
      </c>
      <c r="B37" s="14">
        <v>950</v>
      </c>
      <c r="C37" s="14"/>
      <c r="D37" s="14" t="s">
        <v>163</v>
      </c>
      <c r="E37" s="14" t="s">
        <v>164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26"/>
      <c r="S37" s="14"/>
      <c r="T37" s="15">
        <f>22/31*1875.32</f>
        <v>1330.8722580645162</v>
      </c>
      <c r="U37" s="15">
        <v>1875.32</v>
      </c>
      <c r="V37" s="15">
        <v>1875.32</v>
      </c>
      <c r="W37" s="15">
        <v>1875.32</v>
      </c>
      <c r="X37" s="15">
        <v>1875.32</v>
      </c>
      <c r="Y37" s="15">
        <v>1875.32</v>
      </c>
      <c r="Z37" s="15">
        <v>1875.32</v>
      </c>
      <c r="AA37" s="15">
        <v>1875.32</v>
      </c>
      <c r="AB37" s="15">
        <v>1875.32</v>
      </c>
      <c r="AC37" s="15">
        <f>AB37</f>
        <v>1875.32</v>
      </c>
      <c r="AD37" s="15">
        <f>AC37</f>
        <v>1875.32</v>
      </c>
      <c r="AE37" s="15">
        <f>AD37</f>
        <v>1875.32</v>
      </c>
      <c r="AF37" s="15">
        <f>AE37</f>
        <v>1875.32</v>
      </c>
      <c r="AG37" s="15">
        <f>AF37</f>
        <v>1875.32</v>
      </c>
      <c r="AH37" s="15">
        <f>AG37</f>
        <v>1875.32</v>
      </c>
      <c r="AI37" s="15">
        <f>AH37</f>
        <v>1875.32</v>
      </c>
      <c r="AJ37" s="15">
        <f>AI37</f>
        <v>1875.32</v>
      </c>
      <c r="AK37" s="15">
        <f>AJ37</f>
        <v>1875.32</v>
      </c>
      <c r="AL37" s="15">
        <f>AK37</f>
        <v>1875.32</v>
      </c>
      <c r="AM37" s="15">
        <f>AL37</f>
        <v>1875.32</v>
      </c>
      <c r="AN37" s="15">
        <f>AM37</f>
        <v>1875.32</v>
      </c>
      <c r="AO37" s="15">
        <f>AN37</f>
        <v>1875.32</v>
      </c>
      <c r="AP37" s="14" t="s">
        <v>3</v>
      </c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2" t="s">
        <v>264</v>
      </c>
    </row>
    <row r="38" spans="1:54" ht="18.75" customHeight="1" x14ac:dyDescent="0.35">
      <c r="A38" s="14">
        <v>6762484040</v>
      </c>
      <c r="B38" s="14">
        <v>688</v>
      </c>
      <c r="C38" s="14"/>
      <c r="D38" s="14" t="s">
        <v>161</v>
      </c>
      <c r="E38" s="14" t="s">
        <v>162</v>
      </c>
      <c r="F38" s="15">
        <v>1010</v>
      </c>
      <c r="G38" s="15">
        <v>1010</v>
      </c>
      <c r="H38" s="15">
        <v>1010</v>
      </c>
      <c r="I38" s="15">
        <v>1010</v>
      </c>
      <c r="J38" s="15">
        <v>1010</v>
      </c>
      <c r="K38" s="15">
        <v>1010</v>
      </c>
      <c r="L38" s="15">
        <v>1010</v>
      </c>
      <c r="M38" s="15">
        <v>1010</v>
      </c>
      <c r="N38" s="15">
        <v>1010</v>
      </c>
      <c r="O38" s="15">
        <v>1010</v>
      </c>
      <c r="P38" s="15">
        <v>1010</v>
      </c>
      <c r="Q38" s="15">
        <v>1010</v>
      </c>
      <c r="R38" s="29">
        <v>1010</v>
      </c>
      <c r="S38" s="29">
        <f>R38*1.15</f>
        <v>1161.5</v>
      </c>
      <c r="T38" s="15">
        <f>S38</f>
        <v>1161.5</v>
      </c>
      <c r="U38" s="15">
        <f>T38</f>
        <v>1161.5</v>
      </c>
      <c r="V38" s="15">
        <f>U38</f>
        <v>1161.5</v>
      </c>
      <c r="W38" s="15">
        <f>V38</f>
        <v>1161.5</v>
      </c>
      <c r="X38" s="15">
        <f>W38</f>
        <v>1161.5</v>
      </c>
      <c r="Y38" s="15">
        <f>X38</f>
        <v>1161.5</v>
      </c>
      <c r="Z38" s="15">
        <f>Y38</f>
        <v>1161.5</v>
      </c>
      <c r="AA38" s="15">
        <f>Z38</f>
        <v>1161.5</v>
      </c>
      <c r="AB38" s="15">
        <f>AA38</f>
        <v>1161.5</v>
      </c>
      <c r="AC38" s="29">
        <f>AB38</f>
        <v>1161.5</v>
      </c>
      <c r="AD38" s="29">
        <f>AC38</f>
        <v>1161.5</v>
      </c>
      <c r="AE38" s="29">
        <f>AD38</f>
        <v>1161.5</v>
      </c>
      <c r="AF38" s="29">
        <f>AE38</f>
        <v>1161.5</v>
      </c>
      <c r="AG38" s="29">
        <f>AF38</f>
        <v>1161.5</v>
      </c>
      <c r="AH38" s="29">
        <f>AG38</f>
        <v>1161.5</v>
      </c>
      <c r="AI38" s="29">
        <f>AH38</f>
        <v>1161.5</v>
      </c>
      <c r="AJ38" s="29">
        <f>AI38</f>
        <v>1161.5</v>
      </c>
      <c r="AK38" s="29">
        <f>AJ38</f>
        <v>1161.5</v>
      </c>
      <c r="AL38" s="29">
        <f>AK38</f>
        <v>1161.5</v>
      </c>
      <c r="AM38" s="29">
        <f>AL38</f>
        <v>1161.5</v>
      </c>
      <c r="AN38" s="29">
        <f>AM38</f>
        <v>1161.5</v>
      </c>
      <c r="AO38" s="29">
        <f>AN38</f>
        <v>1161.5</v>
      </c>
      <c r="AP38" s="26" t="s">
        <v>3</v>
      </c>
      <c r="AQ38" s="26"/>
      <c r="AR38" s="26"/>
      <c r="AS38" s="14"/>
      <c r="AT38" s="14"/>
      <c r="AU38" s="14"/>
      <c r="AV38" s="14"/>
      <c r="AW38" s="14"/>
      <c r="AX38" s="14"/>
      <c r="AY38" s="14"/>
      <c r="AZ38" s="14"/>
      <c r="BA38" s="14"/>
      <c r="BB38" s="2" t="s">
        <v>264</v>
      </c>
    </row>
    <row r="39" spans="1:54" ht="15.75" customHeight="1" x14ac:dyDescent="0.35">
      <c r="A39" s="14">
        <v>8952237825</v>
      </c>
      <c r="B39" s="14">
        <v>689</v>
      </c>
      <c r="C39" s="14"/>
      <c r="D39" s="14" t="s">
        <v>174</v>
      </c>
      <c r="E39" s="14" t="s">
        <v>175</v>
      </c>
      <c r="F39" s="15">
        <v>726</v>
      </c>
      <c r="G39" s="15">
        <v>726</v>
      </c>
      <c r="H39" s="15">
        <v>726</v>
      </c>
      <c r="I39" s="15">
        <v>726</v>
      </c>
      <c r="J39" s="15">
        <v>726</v>
      </c>
      <c r="K39" s="15">
        <v>726</v>
      </c>
      <c r="L39" s="15">
        <v>726</v>
      </c>
      <c r="M39" s="15">
        <v>726</v>
      </c>
      <c r="N39" s="15">
        <v>726</v>
      </c>
      <c r="O39" s="15">
        <v>726</v>
      </c>
      <c r="P39" s="15">
        <v>726</v>
      </c>
      <c r="Q39" s="15">
        <v>726</v>
      </c>
      <c r="R39" s="29">
        <v>726</v>
      </c>
      <c r="S39" s="29">
        <v>726</v>
      </c>
      <c r="T39" s="29">
        <v>726</v>
      </c>
      <c r="U39" s="15">
        <f>T39</f>
        <v>726</v>
      </c>
      <c r="V39" s="29">
        <f>U39</f>
        <v>726</v>
      </c>
      <c r="W39" s="29">
        <f>V39</f>
        <v>726</v>
      </c>
      <c r="X39" s="29">
        <f>W39</f>
        <v>726</v>
      </c>
      <c r="Y39" s="29">
        <f>X39</f>
        <v>726</v>
      </c>
      <c r="Z39" s="29">
        <f>Y39</f>
        <v>726</v>
      </c>
      <c r="AA39" s="29">
        <f>Z39</f>
        <v>726</v>
      </c>
      <c r="AB39" s="29">
        <f>AA39</f>
        <v>726</v>
      </c>
      <c r="AC39" s="29">
        <f>AB39</f>
        <v>726</v>
      </c>
      <c r="AD39" s="29">
        <f>AC39</f>
        <v>726</v>
      </c>
      <c r="AE39" s="29">
        <f>AD39</f>
        <v>726</v>
      </c>
      <c r="AF39" s="29">
        <f>AE39</f>
        <v>726</v>
      </c>
      <c r="AG39" s="23">
        <f>AF39</f>
        <v>726</v>
      </c>
      <c r="AH39" s="23">
        <f>AG39</f>
        <v>726</v>
      </c>
      <c r="AI39" s="23">
        <f>AH39</f>
        <v>726</v>
      </c>
      <c r="AJ39" s="23">
        <v>726</v>
      </c>
      <c r="AK39" s="23">
        <v>726</v>
      </c>
      <c r="AL39" s="23">
        <v>726</v>
      </c>
      <c r="AM39" s="23">
        <v>726</v>
      </c>
      <c r="AN39" s="23">
        <v>726</v>
      </c>
      <c r="AO39" s="23">
        <v>726</v>
      </c>
      <c r="AP39" s="14" t="s">
        <v>3</v>
      </c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 t="s">
        <v>264</v>
      </c>
    </row>
    <row r="40" spans="1:54" ht="18.75" customHeight="1" x14ac:dyDescent="0.35">
      <c r="A40" s="14">
        <v>9520002091</v>
      </c>
      <c r="B40" s="14">
        <v>469</v>
      </c>
      <c r="C40" s="14"/>
      <c r="D40" s="14" t="s">
        <v>159</v>
      </c>
      <c r="E40" s="14" t="s">
        <v>160</v>
      </c>
      <c r="F40" s="15">
        <v>808</v>
      </c>
      <c r="G40" s="15">
        <v>808</v>
      </c>
      <c r="H40" s="15">
        <v>808</v>
      </c>
      <c r="I40" s="15">
        <v>808</v>
      </c>
      <c r="J40" s="15">
        <v>808</v>
      </c>
      <c r="K40" s="15">
        <v>808</v>
      </c>
      <c r="L40" s="15">
        <v>808</v>
      </c>
      <c r="M40" s="15">
        <v>808</v>
      </c>
      <c r="N40" s="15">
        <v>808</v>
      </c>
      <c r="O40" s="15">
        <v>808</v>
      </c>
      <c r="P40" s="15">
        <v>808</v>
      </c>
      <c r="Q40" s="15">
        <v>808</v>
      </c>
      <c r="R40" s="29">
        <v>808</v>
      </c>
      <c r="S40" s="26">
        <f>PRODUCT(R40*1.15)</f>
        <v>929.19999999999993</v>
      </c>
      <c r="T40" s="15">
        <f>S40</f>
        <v>929.19999999999993</v>
      </c>
      <c r="U40" s="15">
        <f>T40</f>
        <v>929.19999999999993</v>
      </c>
      <c r="V40" s="15">
        <f>U40</f>
        <v>929.19999999999993</v>
      </c>
      <c r="W40" s="15">
        <f>V40</f>
        <v>929.19999999999993</v>
      </c>
      <c r="X40" s="15">
        <f>W40</f>
        <v>929.19999999999993</v>
      </c>
      <c r="Y40" s="15">
        <f>X40</f>
        <v>929.19999999999993</v>
      </c>
      <c r="Z40" s="15">
        <f>Y40</f>
        <v>929.19999999999993</v>
      </c>
      <c r="AA40" s="15">
        <f>Z40</f>
        <v>929.19999999999993</v>
      </c>
      <c r="AB40" s="15">
        <f>AA40</f>
        <v>929.19999999999993</v>
      </c>
      <c r="AC40" s="29">
        <f>AB40</f>
        <v>929.19999999999993</v>
      </c>
      <c r="AD40" s="29">
        <f>AC40</f>
        <v>929.19999999999993</v>
      </c>
      <c r="AE40" s="29">
        <f>AD40</f>
        <v>929.19999999999993</v>
      </c>
      <c r="AF40" s="29">
        <f>AE40</f>
        <v>929.19999999999993</v>
      </c>
      <c r="AG40" s="29">
        <v>929.19999999999993</v>
      </c>
      <c r="AH40" s="26">
        <v>452.2</v>
      </c>
      <c r="AI40" s="29">
        <v>452.2</v>
      </c>
      <c r="AJ40" s="29">
        <v>452.2</v>
      </c>
      <c r="AK40" s="29">
        <v>452.2</v>
      </c>
      <c r="AL40" s="29">
        <v>452.2</v>
      </c>
      <c r="AM40" s="29">
        <v>452.2</v>
      </c>
      <c r="AN40" s="26">
        <v>929.2</v>
      </c>
      <c r="AO40" s="29">
        <v>929.2</v>
      </c>
      <c r="AP40" s="26" t="s">
        <v>3</v>
      </c>
      <c r="AQ40" s="26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 t="s">
        <v>264</v>
      </c>
    </row>
    <row r="41" spans="1:54" ht="15.75" customHeight="1" x14ac:dyDescent="0.35">
      <c r="A41" s="14">
        <v>5252615933</v>
      </c>
      <c r="B41" s="14">
        <v>21</v>
      </c>
      <c r="C41" s="14"/>
      <c r="D41" s="17" t="s">
        <v>152</v>
      </c>
      <c r="E41" s="14" t="s">
        <v>153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5">
        <f>690/2</f>
        <v>345</v>
      </c>
      <c r="M41" s="15">
        <f>690/2</f>
        <v>345</v>
      </c>
      <c r="N41" s="15">
        <f>690/2</f>
        <v>345</v>
      </c>
      <c r="O41" s="15">
        <f>690</f>
        <v>690</v>
      </c>
      <c r="P41" s="15">
        <f>690</f>
        <v>690</v>
      </c>
      <c r="Q41" s="15">
        <f>690</f>
        <v>690</v>
      </c>
      <c r="R41" s="29">
        <f>690</f>
        <v>690</v>
      </c>
      <c r="S41" s="15">
        <f>690</f>
        <v>690</v>
      </c>
      <c r="T41" s="15">
        <f>S41</f>
        <v>690</v>
      </c>
      <c r="U41" s="15">
        <f>T41</f>
        <v>690</v>
      </c>
      <c r="V41" s="15">
        <f>U41</f>
        <v>690</v>
      </c>
      <c r="W41" s="15">
        <f>V41</f>
        <v>690</v>
      </c>
      <c r="X41" s="15">
        <f>W41</f>
        <v>690</v>
      </c>
      <c r="Y41" s="15">
        <f>X41</f>
        <v>690</v>
      </c>
      <c r="Z41" s="15">
        <f>Y41</f>
        <v>690</v>
      </c>
      <c r="AA41" s="15">
        <f>Z41</f>
        <v>690</v>
      </c>
      <c r="AB41" s="15">
        <f>AA41</f>
        <v>690</v>
      </c>
      <c r="AC41" s="29">
        <f>AB41</f>
        <v>690</v>
      </c>
      <c r="AD41" s="29">
        <f>AC41</f>
        <v>690</v>
      </c>
      <c r="AE41" s="29">
        <f>AD41</f>
        <v>690</v>
      </c>
      <c r="AF41" s="29">
        <f>AE41</f>
        <v>690</v>
      </c>
      <c r="AG41" s="29">
        <f>AF41</f>
        <v>690</v>
      </c>
      <c r="AH41" s="29">
        <f>AG41</f>
        <v>690</v>
      </c>
      <c r="AI41" s="29">
        <f>AH41</f>
        <v>690</v>
      </c>
      <c r="AJ41" s="29">
        <f>AI41</f>
        <v>690</v>
      </c>
      <c r="AK41" s="29">
        <f>AJ41</f>
        <v>690</v>
      </c>
      <c r="AL41" s="29">
        <v>99</v>
      </c>
      <c r="AM41" s="29">
        <v>99</v>
      </c>
      <c r="AN41" s="29">
        <v>99</v>
      </c>
      <c r="AO41" s="14" t="s">
        <v>3</v>
      </c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2" t="s">
        <v>263</v>
      </c>
    </row>
    <row r="42" spans="1:54" ht="18.75" customHeight="1" x14ac:dyDescent="0.35">
      <c r="A42" s="14">
        <v>6571309828</v>
      </c>
      <c r="D42" s="14" t="s">
        <v>183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26"/>
      <c r="S42" s="14"/>
      <c r="T42" s="14"/>
      <c r="U42" s="14"/>
      <c r="V42" s="14"/>
      <c r="W42" s="14"/>
      <c r="X42" s="14"/>
      <c r="Y42" s="14"/>
      <c r="Z42" s="14"/>
      <c r="AA42" s="14"/>
      <c r="AB42" s="25">
        <f>22/31*419</f>
        <v>297.35483870967744</v>
      </c>
      <c r="AC42" s="37">
        <v>453.96600000000001</v>
      </c>
      <c r="AD42" s="37">
        <v>453.96600000000001</v>
      </c>
      <c r="AE42" s="37">
        <v>453.96600000000001</v>
      </c>
      <c r="AF42" s="37">
        <v>453.96600000000001</v>
      </c>
      <c r="AG42" s="37">
        <f>AF42</f>
        <v>453.96600000000001</v>
      </c>
      <c r="AH42" s="37">
        <f>AG42</f>
        <v>453.96600000000001</v>
      </c>
      <c r="AI42" s="37">
        <f>AH42</f>
        <v>453.96600000000001</v>
      </c>
      <c r="AJ42" s="37">
        <f>AI42</f>
        <v>453.96600000000001</v>
      </c>
      <c r="AK42" s="37">
        <f>AJ42</f>
        <v>453.96600000000001</v>
      </c>
      <c r="AL42" s="37">
        <f>AK42</f>
        <v>453.96600000000001</v>
      </c>
      <c r="AM42" s="37">
        <f>AL42</f>
        <v>453.96600000000001</v>
      </c>
      <c r="AN42" s="37" t="s">
        <v>3</v>
      </c>
      <c r="AO42" s="37"/>
      <c r="AP42" s="26"/>
      <c r="AQ42" s="26"/>
      <c r="AR42" s="26"/>
      <c r="AS42" s="26"/>
      <c r="AT42" s="26"/>
      <c r="AU42" s="14"/>
      <c r="AV42" s="14"/>
      <c r="AW42" s="14"/>
      <c r="AX42" s="14"/>
      <c r="AY42" s="14"/>
      <c r="AZ42" s="14"/>
      <c r="BA42" s="14"/>
      <c r="BB42" s="2" t="s">
        <v>262</v>
      </c>
    </row>
    <row r="43" spans="1:54" ht="15.75" customHeight="1" x14ac:dyDescent="0.35">
      <c r="A43" s="2">
        <v>6731898059</v>
      </c>
      <c r="B43" s="2">
        <v>795</v>
      </c>
      <c r="D43" s="1" t="s">
        <v>145</v>
      </c>
      <c r="E43" s="2" t="s">
        <v>146</v>
      </c>
      <c r="H43" s="5">
        <f>18/31*528.46</f>
        <v>306.8477419354839</v>
      </c>
      <c r="I43" s="5">
        <v>528.46</v>
      </c>
      <c r="J43" s="5">
        <v>528.46</v>
      </c>
      <c r="K43" s="5">
        <v>528.46</v>
      </c>
      <c r="L43" s="5">
        <v>528.46</v>
      </c>
      <c r="M43" s="5">
        <v>528.46</v>
      </c>
      <c r="N43" s="5">
        <v>528.46</v>
      </c>
      <c r="O43" s="5">
        <v>528.46</v>
      </c>
      <c r="P43" s="5">
        <v>528.46</v>
      </c>
      <c r="Q43" s="5">
        <v>528.46</v>
      </c>
      <c r="R43" s="32">
        <v>528.46</v>
      </c>
      <c r="S43" s="13">
        <f>PRODUCT(R43*1.15)</f>
        <v>607.72900000000004</v>
      </c>
      <c r="T43" s="5">
        <f>S43</f>
        <v>607.72900000000004</v>
      </c>
      <c r="U43" s="5">
        <f>T43</f>
        <v>607.72900000000004</v>
      </c>
      <c r="V43" s="5">
        <f>U43</f>
        <v>607.72900000000004</v>
      </c>
      <c r="W43" s="5">
        <f>V43</f>
        <v>607.72900000000004</v>
      </c>
      <c r="X43" s="5">
        <f>W43</f>
        <v>607.72900000000004</v>
      </c>
      <c r="Y43" s="5">
        <f>X43</f>
        <v>607.72900000000004</v>
      </c>
      <c r="Z43" s="5">
        <f>Y43</f>
        <v>607.72900000000004</v>
      </c>
      <c r="AA43" s="5">
        <f>Z43</f>
        <v>607.72900000000004</v>
      </c>
      <c r="AB43" s="5">
        <f>AA43</f>
        <v>607.72900000000004</v>
      </c>
      <c r="AC43" s="32">
        <f>AB43</f>
        <v>607.72900000000004</v>
      </c>
      <c r="AD43" s="32">
        <f>AC43</f>
        <v>607.72900000000004</v>
      </c>
      <c r="AE43" s="32">
        <f>AD43</f>
        <v>607.72900000000004</v>
      </c>
      <c r="AF43" s="32">
        <f>AE43</f>
        <v>607.72900000000004</v>
      </c>
      <c r="AG43" s="32">
        <f>AF43</f>
        <v>607.72900000000004</v>
      </c>
      <c r="AH43" s="32">
        <f>AG43</f>
        <v>607.72900000000004</v>
      </c>
      <c r="AI43" s="32">
        <f>AH43</f>
        <v>607.72900000000004</v>
      </c>
      <c r="AJ43" s="32">
        <f>AI43</f>
        <v>607.72900000000004</v>
      </c>
      <c r="AK43" s="32">
        <f>AJ43</f>
        <v>607.72900000000004</v>
      </c>
      <c r="AL43" s="32">
        <f>AK43</f>
        <v>607.72900000000004</v>
      </c>
      <c r="AM43" s="32">
        <f>AL43</f>
        <v>607.72900000000004</v>
      </c>
      <c r="AN43" s="2" t="s">
        <v>3</v>
      </c>
      <c r="BB43" s="2" t="s">
        <v>262</v>
      </c>
    </row>
    <row r="44" spans="1:54" ht="18.75" customHeight="1" x14ac:dyDescent="0.35">
      <c r="A44" s="2">
        <v>6760000150</v>
      </c>
      <c r="B44" s="2">
        <v>255</v>
      </c>
      <c r="D44" s="2" t="s">
        <v>147</v>
      </c>
      <c r="E44" s="2" t="s">
        <v>148</v>
      </c>
      <c r="F44" s="5">
        <v>1150</v>
      </c>
      <c r="G44" s="5">
        <v>1150</v>
      </c>
      <c r="H44" s="5">
        <v>1150</v>
      </c>
      <c r="I44" s="5">
        <v>1150</v>
      </c>
      <c r="J44" s="5">
        <v>1150</v>
      </c>
      <c r="K44" s="5">
        <v>1150</v>
      </c>
      <c r="L44" s="5">
        <v>1150</v>
      </c>
      <c r="M44" s="5">
        <v>1150</v>
      </c>
      <c r="N44" s="5">
        <v>1150</v>
      </c>
      <c r="O44" s="5">
        <v>1150</v>
      </c>
      <c r="P44" s="5">
        <v>1150</v>
      </c>
      <c r="Q44" s="5">
        <v>1150</v>
      </c>
      <c r="R44" s="32">
        <f>Q44*1.15</f>
        <v>1322.5</v>
      </c>
      <c r="S44" s="5">
        <f>R44</f>
        <v>1322.5</v>
      </c>
      <c r="T44" s="5">
        <f>S44</f>
        <v>1322.5</v>
      </c>
      <c r="U44" s="5">
        <f>T44</f>
        <v>1322.5</v>
      </c>
      <c r="V44" s="5">
        <f>U44</f>
        <v>1322.5</v>
      </c>
      <c r="W44" s="5">
        <f>V44</f>
        <v>1322.5</v>
      </c>
      <c r="X44" s="5">
        <f>W44</f>
        <v>1322.5</v>
      </c>
      <c r="Y44" s="5">
        <f>X44</f>
        <v>1322.5</v>
      </c>
      <c r="Z44" s="5">
        <f>Y44</f>
        <v>1322.5</v>
      </c>
      <c r="AA44" s="5">
        <f>Z44</f>
        <v>1322.5</v>
      </c>
      <c r="AB44" s="5">
        <f>AA44</f>
        <v>1322.5</v>
      </c>
      <c r="AC44" s="32">
        <f>AB44</f>
        <v>1322.5</v>
      </c>
      <c r="AD44" s="32">
        <f>AC44</f>
        <v>1322.5</v>
      </c>
      <c r="AE44" s="32">
        <f>AD44</f>
        <v>1322.5</v>
      </c>
      <c r="AF44" s="32">
        <f>AE44</f>
        <v>1322.5</v>
      </c>
      <c r="AG44" s="32">
        <f>AF44</f>
        <v>1322.5</v>
      </c>
      <c r="AH44" s="32">
        <f>AG44</f>
        <v>1322.5</v>
      </c>
      <c r="AI44" s="32">
        <f>AH44</f>
        <v>1322.5</v>
      </c>
      <c r="AJ44" s="32">
        <f>AI44</f>
        <v>1322.5</v>
      </c>
      <c r="AK44" s="32">
        <f>AJ44</f>
        <v>1322.5</v>
      </c>
      <c r="AL44" s="32">
        <f>AK44</f>
        <v>1322.5</v>
      </c>
      <c r="AM44" s="32">
        <f>AL44</f>
        <v>1322.5</v>
      </c>
      <c r="AN44" s="2" t="s">
        <v>149</v>
      </c>
      <c r="BB44" s="2" t="s">
        <v>262</v>
      </c>
    </row>
    <row r="45" spans="1:54" ht="15.75" customHeight="1" x14ac:dyDescent="0.35">
      <c r="A45" s="2">
        <v>8381031650</v>
      </c>
      <c r="B45" s="2">
        <v>974</v>
      </c>
      <c r="D45" s="1" t="s">
        <v>143</v>
      </c>
      <c r="E45" s="2" t="s">
        <v>144</v>
      </c>
      <c r="R45" s="31"/>
      <c r="U45" s="5">
        <v>1296</v>
      </c>
      <c r="V45" s="5">
        <f>U45</f>
        <v>1296</v>
      </c>
      <c r="W45" s="5">
        <f>V45</f>
        <v>1296</v>
      </c>
      <c r="X45" s="5">
        <f>W45</f>
        <v>1296</v>
      </c>
      <c r="Y45" s="5">
        <f>X45</f>
        <v>1296</v>
      </c>
      <c r="Z45" s="5">
        <f>Y45</f>
        <v>1296</v>
      </c>
      <c r="AA45" s="5">
        <f>Z45</f>
        <v>1296</v>
      </c>
      <c r="AB45" s="5">
        <f>AA45</f>
        <v>1296</v>
      </c>
      <c r="AC45" s="32">
        <f>AB45</f>
        <v>1296</v>
      </c>
      <c r="AD45" s="32">
        <f>AC45</f>
        <v>1296</v>
      </c>
      <c r="AE45" s="32">
        <v>1296</v>
      </c>
      <c r="AF45" s="32">
        <v>1296</v>
      </c>
      <c r="AG45" s="32">
        <v>1296</v>
      </c>
      <c r="AH45" s="32">
        <v>1296</v>
      </c>
      <c r="AI45" s="32">
        <v>1296</v>
      </c>
      <c r="AJ45" s="32">
        <v>1296</v>
      </c>
      <c r="AK45" s="32">
        <v>1296</v>
      </c>
      <c r="AL45" s="32">
        <v>1296</v>
      </c>
      <c r="AM45" s="32">
        <v>1296</v>
      </c>
      <c r="AN45" s="31" t="s">
        <v>3</v>
      </c>
      <c r="AO45" s="31"/>
      <c r="BB45" s="2" t="s">
        <v>262</v>
      </c>
    </row>
    <row r="46" spans="1:54" ht="15.75" customHeight="1" x14ac:dyDescent="0.35">
      <c r="A46" s="14">
        <v>9950043000</v>
      </c>
      <c r="B46" s="14">
        <v>252</v>
      </c>
      <c r="C46" s="14"/>
      <c r="D46" s="14" t="s">
        <v>150</v>
      </c>
      <c r="E46" s="14" t="s">
        <v>151</v>
      </c>
      <c r="F46" s="15">
        <v>1450</v>
      </c>
      <c r="G46" s="15">
        <v>1450</v>
      </c>
      <c r="H46" s="15">
        <v>1450</v>
      </c>
      <c r="I46" s="15">
        <v>1450</v>
      </c>
      <c r="J46" s="15">
        <v>1450</v>
      </c>
      <c r="K46" s="15">
        <v>1450</v>
      </c>
      <c r="L46" s="15">
        <v>1450</v>
      </c>
      <c r="M46" s="15">
        <v>1450</v>
      </c>
      <c r="N46" s="15">
        <v>1450</v>
      </c>
      <c r="O46" s="15">
        <v>1450</v>
      </c>
      <c r="P46" s="15">
        <v>1450</v>
      </c>
      <c r="Q46" s="15">
        <v>1450</v>
      </c>
      <c r="R46" s="29">
        <f>Q46*1.15</f>
        <v>1667.4999999999998</v>
      </c>
      <c r="S46" s="15">
        <f>R46</f>
        <v>1667.4999999999998</v>
      </c>
      <c r="T46" s="15">
        <f>S46</f>
        <v>1667.4999999999998</v>
      </c>
      <c r="U46" s="15">
        <f>T46</f>
        <v>1667.4999999999998</v>
      </c>
      <c r="V46" s="15">
        <f>U46</f>
        <v>1667.4999999999998</v>
      </c>
      <c r="W46" s="15">
        <f>V46</f>
        <v>1667.4999999999998</v>
      </c>
      <c r="X46" s="15">
        <f>W46</f>
        <v>1667.4999999999998</v>
      </c>
      <c r="Y46" s="15">
        <f>X46</f>
        <v>1667.4999999999998</v>
      </c>
      <c r="Z46" s="15">
        <f>Y46</f>
        <v>1667.4999999999998</v>
      </c>
      <c r="AA46" s="15">
        <f>Z46</f>
        <v>1667.4999999999998</v>
      </c>
      <c r="AB46" s="15">
        <f>AA46</f>
        <v>1667.4999999999998</v>
      </c>
      <c r="AC46" s="29">
        <f>AB46</f>
        <v>1667.4999999999998</v>
      </c>
      <c r="AD46" s="29">
        <f>AC46</f>
        <v>1667.4999999999998</v>
      </c>
      <c r="AE46" s="29">
        <f>AD46</f>
        <v>1667.4999999999998</v>
      </c>
      <c r="AF46" s="29">
        <f>AE46</f>
        <v>1667.4999999999998</v>
      </c>
      <c r="AG46" s="29">
        <f>AF46</f>
        <v>1667.4999999999998</v>
      </c>
      <c r="AH46" s="29">
        <f>AG46</f>
        <v>1667.4999999999998</v>
      </c>
      <c r="AI46" s="29">
        <f>AH46</f>
        <v>1667.4999999999998</v>
      </c>
      <c r="AJ46" s="29">
        <f>AI46</f>
        <v>1667.4999999999998</v>
      </c>
      <c r="AK46" s="29">
        <f>AJ46</f>
        <v>1667.4999999999998</v>
      </c>
      <c r="AL46" s="29">
        <f>AK46</f>
        <v>1667.4999999999998</v>
      </c>
      <c r="AM46" s="29" t="s">
        <v>3</v>
      </c>
      <c r="AN46" s="29"/>
      <c r="AO46" s="29"/>
      <c r="AP46" s="26"/>
      <c r="AQ46" s="26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 t="s">
        <v>261</v>
      </c>
    </row>
    <row r="47" spans="1:54" x14ac:dyDescent="0.35">
      <c r="A47" s="2">
        <v>1132457808</v>
      </c>
      <c r="B47" s="2">
        <v>441</v>
      </c>
      <c r="D47" s="2" t="s">
        <v>134</v>
      </c>
      <c r="E47" s="2" t="s">
        <v>135</v>
      </c>
      <c r="F47" s="5">
        <f>2900.8/3</f>
        <v>966.93333333333339</v>
      </c>
      <c r="G47" s="5">
        <f>2900.8/3</f>
        <v>966.93333333333339</v>
      </c>
      <c r="H47" s="5">
        <f>2900.8/3</f>
        <v>966.93333333333339</v>
      </c>
      <c r="I47" s="5">
        <f>2900.8/3</f>
        <v>966.93333333333339</v>
      </c>
      <c r="J47" s="5">
        <f>2900.8/3</f>
        <v>966.93333333333339</v>
      </c>
      <c r="K47" s="5">
        <f>2900.8/3</f>
        <v>966.93333333333339</v>
      </c>
      <c r="L47" s="5">
        <f>2900.8/3</f>
        <v>966.93333333333339</v>
      </c>
      <c r="M47" s="5">
        <f>2900.8/3</f>
        <v>966.93333333333339</v>
      </c>
      <c r="N47" s="5">
        <f>2900.8/3</f>
        <v>966.93333333333339</v>
      </c>
      <c r="O47" s="5">
        <f>2900.8/3</f>
        <v>966.93333333333339</v>
      </c>
      <c r="P47" s="5">
        <f>2900.8/3</f>
        <v>966.93333333333339</v>
      </c>
      <c r="Q47" s="5">
        <f>2900.8/3</f>
        <v>966.93333333333339</v>
      </c>
      <c r="R47" s="32">
        <f>3335.92/3</f>
        <v>1111.9733333333334</v>
      </c>
      <c r="S47" s="32">
        <f>R47</f>
        <v>1111.9733333333334</v>
      </c>
      <c r="T47" s="5">
        <f>S47</f>
        <v>1111.9733333333334</v>
      </c>
      <c r="U47" s="5">
        <f>T47</f>
        <v>1111.9733333333334</v>
      </c>
      <c r="V47" s="5">
        <f>U47</f>
        <v>1111.9733333333334</v>
      </c>
      <c r="W47" s="5">
        <f>V47</f>
        <v>1111.9733333333334</v>
      </c>
      <c r="X47" s="5">
        <f>W47</f>
        <v>1111.9733333333334</v>
      </c>
      <c r="Y47" s="5">
        <f>X47</f>
        <v>1111.9733333333334</v>
      </c>
      <c r="Z47" s="5">
        <f>Y47</f>
        <v>1111.9733333333334</v>
      </c>
      <c r="AA47" s="5">
        <f>Z47</f>
        <v>1111.9733333333334</v>
      </c>
      <c r="AB47" s="5">
        <f>AA47</f>
        <v>1111.9733333333334</v>
      </c>
      <c r="AC47" s="32">
        <f>AB47</f>
        <v>1111.9733333333334</v>
      </c>
      <c r="AD47" s="32">
        <f>AC47</f>
        <v>1111.9733333333334</v>
      </c>
      <c r="AE47" s="32">
        <f>AD47</f>
        <v>1111.9733333333334</v>
      </c>
      <c r="AF47" s="32">
        <f>AE47</f>
        <v>1111.9733333333334</v>
      </c>
      <c r="AG47" s="32">
        <f>AF47</f>
        <v>1111.9733333333334</v>
      </c>
      <c r="AH47" s="32">
        <f>AG47</f>
        <v>1111.9733333333334</v>
      </c>
      <c r="AI47" s="32">
        <f>AH47</f>
        <v>1111.9733333333334</v>
      </c>
      <c r="AJ47" s="32">
        <f>AI47</f>
        <v>1111.9733333333334</v>
      </c>
      <c r="AK47" s="32">
        <f>AJ47</f>
        <v>1111.9733333333334</v>
      </c>
      <c r="AL47" s="31" t="s">
        <v>3</v>
      </c>
      <c r="AM47" s="31"/>
      <c r="AN47" s="31"/>
      <c r="AO47" s="31"/>
      <c r="AP47" s="31"/>
      <c r="AQ47" s="31"/>
      <c r="BB47" s="2" t="s">
        <v>260</v>
      </c>
    </row>
    <row r="48" spans="1:54" ht="18.75" customHeight="1" x14ac:dyDescent="0.35">
      <c r="A48" s="2">
        <v>1132457808</v>
      </c>
      <c r="D48" s="2" t="s">
        <v>134</v>
      </c>
      <c r="E48" s="2" t="s">
        <v>136</v>
      </c>
      <c r="F48" s="5">
        <f>2900.8/3</f>
        <v>966.93333333333339</v>
      </c>
      <c r="G48" s="5">
        <f>2900.8/3</f>
        <v>966.93333333333339</v>
      </c>
      <c r="H48" s="5">
        <f>2900.8/3</f>
        <v>966.93333333333339</v>
      </c>
      <c r="I48" s="5">
        <f>2900.8/3</f>
        <v>966.93333333333339</v>
      </c>
      <c r="J48" s="5">
        <f>2900.8/3</f>
        <v>966.93333333333339</v>
      </c>
      <c r="K48" s="5">
        <f>2900.8/3</f>
        <v>966.93333333333339</v>
      </c>
      <c r="L48" s="5">
        <f>2900.8/3</f>
        <v>966.93333333333339</v>
      </c>
      <c r="M48" s="5">
        <f>2900.8/3</f>
        <v>966.93333333333339</v>
      </c>
      <c r="N48" s="5">
        <f>2900.8/3</f>
        <v>966.93333333333339</v>
      </c>
      <c r="O48" s="5">
        <f>2900.8/3</f>
        <v>966.93333333333339</v>
      </c>
      <c r="P48" s="5">
        <f>2900.8/3</f>
        <v>966.93333333333339</v>
      </c>
      <c r="Q48" s="5">
        <f>2900.8/3</f>
        <v>966.93333333333339</v>
      </c>
      <c r="R48" s="7">
        <f>3335.92/3</f>
        <v>1111.9733333333334</v>
      </c>
      <c r="S48" s="7">
        <f>R48</f>
        <v>1111.9733333333334</v>
      </c>
      <c r="T48" s="7">
        <f>S48</f>
        <v>1111.9733333333334</v>
      </c>
      <c r="U48" s="7">
        <f>T48</f>
        <v>1111.9733333333334</v>
      </c>
      <c r="V48" s="7">
        <f>U48</f>
        <v>1111.9733333333334</v>
      </c>
      <c r="W48" s="5">
        <f>V48</f>
        <v>1111.9733333333334</v>
      </c>
      <c r="X48" s="5">
        <f>W48</f>
        <v>1111.9733333333334</v>
      </c>
      <c r="Y48" s="5">
        <f>X48</f>
        <v>1111.9733333333334</v>
      </c>
      <c r="Z48" s="5">
        <f>Y48</f>
        <v>1111.9733333333334</v>
      </c>
      <c r="AA48" s="5">
        <f>Z48</f>
        <v>1111.9733333333334</v>
      </c>
      <c r="AB48" s="5">
        <f>AA48</f>
        <v>1111.9733333333334</v>
      </c>
      <c r="AC48" s="32">
        <f>AB48</f>
        <v>1111.9733333333334</v>
      </c>
      <c r="AD48" s="32">
        <f>AC48</f>
        <v>1111.9733333333334</v>
      </c>
      <c r="AE48" s="32">
        <f>AD48</f>
        <v>1111.9733333333334</v>
      </c>
      <c r="AF48" s="32">
        <f>AE48</f>
        <v>1111.9733333333334</v>
      </c>
      <c r="AG48" s="32">
        <f>AF48</f>
        <v>1111.9733333333334</v>
      </c>
      <c r="AH48" s="32">
        <f>AG48</f>
        <v>1111.9733333333334</v>
      </c>
      <c r="AI48" s="32">
        <f>AH48</f>
        <v>1111.9733333333334</v>
      </c>
      <c r="AJ48" s="32">
        <f>AI48</f>
        <v>1111.9733333333334</v>
      </c>
      <c r="AK48" s="32">
        <f>AJ48</f>
        <v>1111.9733333333334</v>
      </c>
      <c r="AL48" s="31" t="s">
        <v>3</v>
      </c>
      <c r="AM48" s="31"/>
      <c r="AN48" s="31"/>
      <c r="AO48" s="31"/>
      <c r="AP48" s="31"/>
      <c r="AQ48" s="31"/>
      <c r="AR48" s="31"/>
      <c r="AS48" s="31"/>
      <c r="AT48" s="31"/>
      <c r="BB48" s="2" t="s">
        <v>260</v>
      </c>
    </row>
    <row r="49" spans="1:54" ht="18.75" customHeight="1" x14ac:dyDescent="0.35">
      <c r="A49" s="2">
        <v>1132457808</v>
      </c>
      <c r="D49" s="2" t="s">
        <v>134</v>
      </c>
      <c r="E49" s="2" t="s">
        <v>137</v>
      </c>
      <c r="F49" s="5">
        <f>2900.8/3</f>
        <v>966.93333333333339</v>
      </c>
      <c r="G49" s="5">
        <f>2900.8/3</f>
        <v>966.93333333333339</v>
      </c>
      <c r="H49" s="5">
        <f>2900.8/3</f>
        <v>966.93333333333339</v>
      </c>
      <c r="I49" s="5">
        <f>2900.8/3</f>
        <v>966.93333333333339</v>
      </c>
      <c r="J49" s="5">
        <f>2900.8/3</f>
        <v>966.93333333333339</v>
      </c>
      <c r="K49" s="5">
        <f>2900.8/3</f>
        <v>966.93333333333339</v>
      </c>
      <c r="L49" s="5">
        <f>2900.8/3</f>
        <v>966.93333333333339</v>
      </c>
      <c r="M49" s="5">
        <f>2900.8/3</f>
        <v>966.93333333333339</v>
      </c>
      <c r="N49" s="5">
        <f>2900.8/3</f>
        <v>966.93333333333339</v>
      </c>
      <c r="O49" s="5">
        <f>2900.8/3</f>
        <v>966.93333333333339</v>
      </c>
      <c r="P49" s="5">
        <f>2900.8/3</f>
        <v>966.93333333333339</v>
      </c>
      <c r="Q49" s="5">
        <f>2900.8/3</f>
        <v>966.93333333333339</v>
      </c>
      <c r="R49" s="32">
        <f>3335.92/3</f>
        <v>1111.9733333333334</v>
      </c>
      <c r="S49" s="5">
        <f>R49</f>
        <v>1111.9733333333334</v>
      </c>
      <c r="T49" s="5">
        <f>S49</f>
        <v>1111.9733333333334</v>
      </c>
      <c r="U49" s="5">
        <f>T49</f>
        <v>1111.9733333333334</v>
      </c>
      <c r="V49" s="5">
        <f>U49</f>
        <v>1111.9733333333334</v>
      </c>
      <c r="W49" s="5">
        <f>V49</f>
        <v>1111.9733333333334</v>
      </c>
      <c r="X49" s="5">
        <f>W49</f>
        <v>1111.9733333333334</v>
      </c>
      <c r="Y49" s="5">
        <f>X49</f>
        <v>1111.9733333333334</v>
      </c>
      <c r="Z49" s="5">
        <f>Y49</f>
        <v>1111.9733333333334</v>
      </c>
      <c r="AA49" s="5">
        <f>Z49</f>
        <v>1111.9733333333334</v>
      </c>
      <c r="AB49" s="5">
        <f>AA49</f>
        <v>1111.9733333333334</v>
      </c>
      <c r="AC49" s="32">
        <f>AB49</f>
        <v>1111.9733333333334</v>
      </c>
      <c r="AD49" s="32">
        <f>AC49</f>
        <v>1111.9733333333334</v>
      </c>
      <c r="AE49" s="32">
        <f>AD49</f>
        <v>1111.9733333333334</v>
      </c>
      <c r="AF49" s="32">
        <f>AE49</f>
        <v>1111.9733333333334</v>
      </c>
      <c r="AG49" s="32">
        <f>AF49</f>
        <v>1111.9733333333334</v>
      </c>
      <c r="AH49" s="32">
        <f>AG49</f>
        <v>1111.9733333333334</v>
      </c>
      <c r="AI49" s="32">
        <f>AH49</f>
        <v>1111.9733333333334</v>
      </c>
      <c r="AJ49" s="32">
        <f>AI49</f>
        <v>1111.9733333333334</v>
      </c>
      <c r="AK49" s="32">
        <f>AJ49</f>
        <v>1111.9733333333334</v>
      </c>
      <c r="AL49" s="31" t="s">
        <v>3</v>
      </c>
      <c r="AM49" s="31"/>
      <c r="AN49" s="31"/>
      <c r="AO49" s="31"/>
      <c r="AP49" s="31"/>
      <c r="AQ49" s="31"/>
      <c r="AR49" s="31"/>
      <c r="AS49" s="31"/>
      <c r="AT49" s="31"/>
      <c r="BB49" s="2" t="s">
        <v>260</v>
      </c>
    </row>
    <row r="50" spans="1:54" ht="15.75" customHeight="1" x14ac:dyDescent="0.35">
      <c r="A50" s="2">
        <v>1132457808</v>
      </c>
      <c r="D50" s="2" t="s">
        <v>134</v>
      </c>
      <c r="E50" s="2" t="s">
        <v>138</v>
      </c>
      <c r="F50" s="5">
        <v>509.6</v>
      </c>
      <c r="G50" s="5">
        <v>509.6</v>
      </c>
      <c r="H50" s="5">
        <v>509.6</v>
      </c>
      <c r="I50" s="5">
        <v>509.6</v>
      </c>
      <c r="J50" s="5">
        <v>509.6</v>
      </c>
      <c r="K50" s="5">
        <v>509.6</v>
      </c>
      <c r="L50" s="5">
        <v>509.6</v>
      </c>
      <c r="M50" s="5">
        <v>509.6</v>
      </c>
      <c r="N50" s="5">
        <v>509.6</v>
      </c>
      <c r="O50" s="5">
        <v>509.6</v>
      </c>
      <c r="P50" s="5">
        <v>509.6</v>
      </c>
      <c r="Q50" s="5">
        <v>509.6</v>
      </c>
      <c r="R50" s="32">
        <v>586.04</v>
      </c>
      <c r="S50" s="32">
        <f>R50</f>
        <v>586.04</v>
      </c>
      <c r="T50" s="32">
        <f>S50</f>
        <v>586.04</v>
      </c>
      <c r="U50" s="32">
        <f>T50</f>
        <v>586.04</v>
      </c>
      <c r="V50" s="32">
        <f>U50</f>
        <v>586.04</v>
      </c>
      <c r="W50" s="32">
        <f>V50</f>
        <v>586.04</v>
      </c>
      <c r="X50" s="32">
        <f>W50</f>
        <v>586.04</v>
      </c>
      <c r="Y50" s="32">
        <f>X50</f>
        <v>586.04</v>
      </c>
      <c r="Z50" s="32">
        <f>Y50</f>
        <v>586.04</v>
      </c>
      <c r="AA50" s="32">
        <f>Z50</f>
        <v>586.04</v>
      </c>
      <c r="AB50" s="32">
        <f>AA50</f>
        <v>586.04</v>
      </c>
      <c r="AC50" s="32">
        <f>AB50</f>
        <v>586.04</v>
      </c>
      <c r="AD50" s="32">
        <f>AC50</f>
        <v>586.04</v>
      </c>
      <c r="AE50" s="32">
        <f>AD50</f>
        <v>586.04</v>
      </c>
      <c r="AF50" s="32">
        <f>AE50</f>
        <v>586.04</v>
      </c>
      <c r="AG50" s="32">
        <f>AF50</f>
        <v>586.04</v>
      </c>
      <c r="AH50" s="32">
        <f>AG50</f>
        <v>586.04</v>
      </c>
      <c r="AI50" s="32">
        <f>AH50</f>
        <v>586.04</v>
      </c>
      <c r="AJ50" s="32">
        <f>AI50</f>
        <v>586.04</v>
      </c>
      <c r="AK50" s="5">
        <f>AJ50</f>
        <v>586.04</v>
      </c>
      <c r="AL50" s="31" t="s">
        <v>3</v>
      </c>
      <c r="AM50" s="31"/>
      <c r="AN50" s="31"/>
      <c r="AO50" s="31"/>
      <c r="AP50" s="31"/>
      <c r="AQ50" s="31"/>
      <c r="AR50" s="31"/>
      <c r="BB50" s="2" t="s">
        <v>260</v>
      </c>
    </row>
    <row r="51" spans="1:54" ht="18.75" customHeight="1" x14ac:dyDescent="0.35">
      <c r="A51" s="31">
        <v>1132457808</v>
      </c>
      <c r="B51" s="31"/>
      <c r="C51" s="31"/>
      <c r="D51" s="31" t="s">
        <v>134</v>
      </c>
      <c r="E51" s="31" t="s">
        <v>139</v>
      </c>
      <c r="F51" s="32">
        <v>509.6</v>
      </c>
      <c r="G51" s="32">
        <v>509.6</v>
      </c>
      <c r="H51" s="32">
        <v>509.6</v>
      </c>
      <c r="I51" s="32">
        <v>509.6</v>
      </c>
      <c r="J51" s="32">
        <v>509.6</v>
      </c>
      <c r="K51" s="32">
        <v>509.6</v>
      </c>
      <c r="L51" s="32">
        <v>509.6</v>
      </c>
      <c r="M51" s="32">
        <v>509.6</v>
      </c>
      <c r="N51" s="32">
        <v>509.6</v>
      </c>
      <c r="O51" s="32">
        <v>509.6</v>
      </c>
      <c r="P51" s="32">
        <v>509.6</v>
      </c>
      <c r="Q51" s="32">
        <v>509.6</v>
      </c>
      <c r="R51" s="32">
        <v>586.04</v>
      </c>
      <c r="S51" s="32">
        <f>R51</f>
        <v>586.04</v>
      </c>
      <c r="T51" s="32">
        <f>S51</f>
        <v>586.04</v>
      </c>
      <c r="U51" s="32">
        <f>T51</f>
        <v>586.04</v>
      </c>
      <c r="V51" s="32">
        <f>U51</f>
        <v>586.04</v>
      </c>
      <c r="W51" s="32">
        <f>V51</f>
        <v>586.04</v>
      </c>
      <c r="X51" s="32">
        <f>W51</f>
        <v>586.04</v>
      </c>
      <c r="Y51" s="32">
        <f>X51</f>
        <v>586.04</v>
      </c>
      <c r="Z51" s="32">
        <f>Y51</f>
        <v>586.04</v>
      </c>
      <c r="AA51" s="32">
        <f>Z51</f>
        <v>586.04</v>
      </c>
      <c r="AB51" s="32">
        <f>AA51</f>
        <v>586.04</v>
      </c>
      <c r="AC51" s="32">
        <f>AB51</f>
        <v>586.04</v>
      </c>
      <c r="AD51" s="32">
        <f>AC51</f>
        <v>586.04</v>
      </c>
      <c r="AE51" s="32">
        <f>AD51</f>
        <v>586.04</v>
      </c>
      <c r="AF51" s="32">
        <f>AE51</f>
        <v>586.04</v>
      </c>
      <c r="AG51" s="32">
        <f>AF51</f>
        <v>586.04</v>
      </c>
      <c r="AH51" s="32">
        <f>AG51</f>
        <v>586.04</v>
      </c>
      <c r="AI51" s="32">
        <f>AH51</f>
        <v>586.04</v>
      </c>
      <c r="AJ51" s="32">
        <f>AI51</f>
        <v>586.04</v>
      </c>
      <c r="AK51" s="32">
        <f>AJ51</f>
        <v>586.04</v>
      </c>
      <c r="AL51" s="31" t="s">
        <v>3</v>
      </c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2" t="s">
        <v>260</v>
      </c>
    </row>
    <row r="52" spans="1:54" ht="18.75" customHeight="1" x14ac:dyDescent="0.35">
      <c r="A52" s="2">
        <v>9462662763</v>
      </c>
      <c r="B52" s="2">
        <v>266</v>
      </c>
      <c r="D52" s="2" t="s">
        <v>140</v>
      </c>
      <c r="E52" s="2" t="s">
        <v>142</v>
      </c>
      <c r="F52" s="5">
        <f>1920+120+120+120+120+120+120</f>
        <v>2640</v>
      </c>
      <c r="G52" s="5">
        <f>1920+120+120+120+120+120+120</f>
        <v>2640</v>
      </c>
      <c r="H52" s="5">
        <f>1920+120+120+120+120+120+120</f>
        <v>2640</v>
      </c>
      <c r="I52" s="5">
        <f>1920+120+120+120+120+120+120</f>
        <v>2640</v>
      </c>
      <c r="J52" s="5">
        <f>1920+120+120+120+120+120+120</f>
        <v>2640</v>
      </c>
      <c r="K52" s="5">
        <f>1920+120+120+120+120+120+120</f>
        <v>2640</v>
      </c>
      <c r="L52" s="5">
        <f>1920+120+120+120+120+120+120</f>
        <v>2640</v>
      </c>
      <c r="M52" s="5">
        <f>1920+120+120+120+120+120+120</f>
        <v>2640</v>
      </c>
      <c r="N52" s="5">
        <f>1920+120+120+120+120+120+120</f>
        <v>2640</v>
      </c>
      <c r="O52" s="5">
        <f>1920+120+120+120+120+120+120</f>
        <v>2640</v>
      </c>
      <c r="P52" s="5">
        <f>1920+120+120+120+120+120+120</f>
        <v>2640</v>
      </c>
      <c r="Q52" s="5">
        <f>1920+120+120+120+120+120+120</f>
        <v>2640</v>
      </c>
      <c r="R52" s="32">
        <f>1920+120+120+120+120+120+120</f>
        <v>2640</v>
      </c>
      <c r="S52" s="32">
        <f>1920+120+120+120+120+120+120</f>
        <v>2640</v>
      </c>
      <c r="T52" s="5">
        <f>S52</f>
        <v>2640</v>
      </c>
      <c r="U52" s="5">
        <f>T52</f>
        <v>2640</v>
      </c>
      <c r="V52" s="5">
        <f>U52</f>
        <v>2640</v>
      </c>
      <c r="W52" s="5">
        <f>V52</f>
        <v>2640</v>
      </c>
      <c r="X52" s="5">
        <f>W52</f>
        <v>2640</v>
      </c>
      <c r="Y52" s="5">
        <f>X52</f>
        <v>2640</v>
      </c>
      <c r="Z52" s="5">
        <f>Y52</f>
        <v>2640</v>
      </c>
      <c r="AA52" s="5">
        <f>Z52</f>
        <v>2640</v>
      </c>
      <c r="AB52" s="5">
        <f>AA52</f>
        <v>2640</v>
      </c>
      <c r="AC52" s="32">
        <f>AB52</f>
        <v>2640</v>
      </c>
      <c r="AD52" s="32">
        <f>AC52</f>
        <v>2640</v>
      </c>
      <c r="AE52" s="32">
        <f>AD52</f>
        <v>2640</v>
      </c>
      <c r="AF52" s="32">
        <f>AE52</f>
        <v>2640</v>
      </c>
      <c r="AG52" s="32">
        <f>AF52</f>
        <v>2640</v>
      </c>
      <c r="AH52" s="32">
        <f>AG52</f>
        <v>2640</v>
      </c>
      <c r="AI52" s="32">
        <f>AH52</f>
        <v>2640</v>
      </c>
      <c r="AJ52" s="32">
        <f>AI52</f>
        <v>2640</v>
      </c>
      <c r="AK52" s="32">
        <f>AJ52</f>
        <v>2640</v>
      </c>
      <c r="AL52" s="2" t="s">
        <v>3</v>
      </c>
      <c r="BB52" s="14" t="s">
        <v>260</v>
      </c>
    </row>
    <row r="53" spans="1:54" ht="15.75" customHeight="1" x14ac:dyDescent="0.35">
      <c r="A53" s="2">
        <v>9462662763</v>
      </c>
      <c r="B53" s="2">
        <v>404</v>
      </c>
      <c r="D53" s="2" t="s">
        <v>140</v>
      </c>
      <c r="E53" s="2" t="s">
        <v>141</v>
      </c>
      <c r="F53" s="5">
        <v>8673</v>
      </c>
      <c r="G53" s="5">
        <v>8918</v>
      </c>
      <c r="H53" s="5">
        <v>9555</v>
      </c>
      <c r="I53" s="5">
        <v>5439</v>
      </c>
      <c r="J53" s="5">
        <v>4459</v>
      </c>
      <c r="K53" s="5">
        <v>4214</v>
      </c>
      <c r="L53" s="5">
        <v>4361</v>
      </c>
      <c r="M53" s="5">
        <v>4900</v>
      </c>
      <c r="N53" s="5">
        <v>4655</v>
      </c>
      <c r="O53" s="5">
        <v>4900</v>
      </c>
      <c r="P53" s="5">
        <v>5586</v>
      </c>
      <c r="Q53" s="5">
        <v>6419</v>
      </c>
      <c r="R53" s="32">
        <v>6664</v>
      </c>
      <c r="S53" s="5">
        <v>6909</v>
      </c>
      <c r="T53" s="32">
        <v>7350</v>
      </c>
      <c r="U53" s="32">
        <v>7399</v>
      </c>
      <c r="V53" s="32">
        <v>7889</v>
      </c>
      <c r="W53" s="32">
        <f>164*49</f>
        <v>8036</v>
      </c>
      <c r="X53" s="32">
        <v>8134</v>
      </c>
      <c r="Y53" s="32">
        <f>180*49</f>
        <v>8820</v>
      </c>
      <c r="Z53" s="32">
        <v>9065</v>
      </c>
      <c r="AA53" s="32">
        <v>9555</v>
      </c>
      <c r="AB53" s="32">
        <v>5978</v>
      </c>
      <c r="AC53" s="32">
        <f>150*49</f>
        <v>7350</v>
      </c>
      <c r="AD53" s="32">
        <f>150*49</f>
        <v>7350</v>
      </c>
      <c r="AE53" s="32">
        <f>150*49</f>
        <v>7350</v>
      </c>
      <c r="AF53" s="32">
        <f>150*49</f>
        <v>7350</v>
      </c>
      <c r="AG53" s="32">
        <f>150*49</f>
        <v>7350</v>
      </c>
      <c r="AH53" s="32">
        <f>150*49</f>
        <v>7350</v>
      </c>
      <c r="AI53" s="32">
        <f>150*49</f>
        <v>7350</v>
      </c>
      <c r="AJ53" s="32">
        <f>150*49</f>
        <v>7350</v>
      </c>
      <c r="AK53" s="32">
        <f>150*49</f>
        <v>7350</v>
      </c>
      <c r="AL53" s="31" t="s">
        <v>3</v>
      </c>
      <c r="AM53" s="48"/>
      <c r="AN53" s="48"/>
      <c r="AO53" s="48"/>
      <c r="AP53" s="31"/>
      <c r="AQ53" s="31"/>
      <c r="AR53" s="31"/>
      <c r="BB53" s="14" t="s">
        <v>260</v>
      </c>
    </row>
    <row r="54" spans="1:54" x14ac:dyDescent="0.35">
      <c r="A54" s="2">
        <v>6342823469</v>
      </c>
      <c r="B54" s="2">
        <v>89</v>
      </c>
      <c r="D54" s="2" t="s">
        <v>132</v>
      </c>
      <c r="E54" s="2" t="s">
        <v>133</v>
      </c>
      <c r="F54" s="5">
        <v>1310</v>
      </c>
      <c r="G54" s="5">
        <v>1310</v>
      </c>
      <c r="H54" s="5">
        <v>1310</v>
      </c>
      <c r="I54" s="5">
        <v>1310</v>
      </c>
      <c r="J54" s="5">
        <v>1310</v>
      </c>
      <c r="K54" s="5">
        <v>1310</v>
      </c>
      <c r="L54" s="5">
        <v>1310</v>
      </c>
      <c r="M54" s="5">
        <v>1310</v>
      </c>
      <c r="N54" s="5">
        <v>1310</v>
      </c>
      <c r="O54" s="5">
        <v>1310</v>
      </c>
      <c r="P54" s="5">
        <v>1310</v>
      </c>
      <c r="Q54" s="5">
        <v>1310</v>
      </c>
      <c r="R54" s="32">
        <v>1310</v>
      </c>
      <c r="S54" s="31">
        <f>PRODUCT(R54*1.15)</f>
        <v>1506.4999999999998</v>
      </c>
      <c r="T54" s="32">
        <f>S54</f>
        <v>1506.4999999999998</v>
      </c>
      <c r="U54" s="32">
        <f>T54</f>
        <v>1506.4999999999998</v>
      </c>
      <c r="V54" s="32">
        <f>U54</f>
        <v>1506.4999999999998</v>
      </c>
      <c r="W54" s="5">
        <f>V54</f>
        <v>1506.4999999999998</v>
      </c>
      <c r="X54" s="5">
        <f>W54</f>
        <v>1506.4999999999998</v>
      </c>
      <c r="Y54" s="5">
        <f>X54</f>
        <v>1506.4999999999998</v>
      </c>
      <c r="Z54" s="5">
        <v>1506.4999999999998</v>
      </c>
      <c r="AA54" s="5">
        <v>1506.4999999999998</v>
      </c>
      <c r="AB54" s="5">
        <v>1506.4999999999998</v>
      </c>
      <c r="AC54" s="32">
        <f>AB54</f>
        <v>1506.4999999999998</v>
      </c>
      <c r="AD54" s="32">
        <f>AC54</f>
        <v>1506.4999999999998</v>
      </c>
      <c r="AE54" s="32">
        <f>AD54</f>
        <v>1506.4999999999998</v>
      </c>
      <c r="AF54" s="32">
        <f>AE54</f>
        <v>1506.4999999999998</v>
      </c>
      <c r="AG54" s="32">
        <f>AF54</f>
        <v>1506.4999999999998</v>
      </c>
      <c r="AH54" s="32">
        <v>1506.4999999999998</v>
      </c>
      <c r="AI54" s="32">
        <v>1506.4999999999998</v>
      </c>
      <c r="BB54" s="2" t="s">
        <v>258</v>
      </c>
    </row>
    <row r="55" spans="1:54" ht="18.649999999999999" customHeight="1" x14ac:dyDescent="0.35">
      <c r="A55" s="2">
        <v>7792008244</v>
      </c>
      <c r="B55" s="2">
        <v>642</v>
      </c>
      <c r="D55" s="2" t="s">
        <v>111</v>
      </c>
      <c r="E55" s="2" t="s">
        <v>112</v>
      </c>
      <c r="F55" s="5">
        <v>893</v>
      </c>
      <c r="G55" s="5">
        <v>893</v>
      </c>
      <c r="H55" s="5">
        <v>893</v>
      </c>
      <c r="I55" s="5">
        <v>893</v>
      </c>
      <c r="J55" s="5">
        <v>893</v>
      </c>
      <c r="K55" s="5">
        <v>893</v>
      </c>
      <c r="L55" s="5">
        <v>893</v>
      </c>
      <c r="M55" s="5">
        <v>893</v>
      </c>
      <c r="N55" s="5">
        <v>893</v>
      </c>
      <c r="O55" s="5">
        <v>893</v>
      </c>
      <c r="P55" s="5">
        <v>893</v>
      </c>
      <c r="Q55" s="5">
        <v>893</v>
      </c>
      <c r="R55" s="7">
        <v>893</v>
      </c>
      <c r="S55" s="32">
        <v>893</v>
      </c>
      <c r="T55" s="32">
        <v>893</v>
      </c>
      <c r="U55" s="32">
        <f>T55</f>
        <v>893</v>
      </c>
      <c r="V55" s="32">
        <f>U55</f>
        <v>893</v>
      </c>
      <c r="W55" s="32">
        <f>V55</f>
        <v>893</v>
      </c>
      <c r="X55" s="32">
        <f>W55</f>
        <v>893</v>
      </c>
      <c r="Y55" s="32">
        <f>X55</f>
        <v>893</v>
      </c>
      <c r="Z55" s="32">
        <f>Y55</f>
        <v>893</v>
      </c>
      <c r="AA55" s="32">
        <f>Z55</f>
        <v>893</v>
      </c>
      <c r="AB55" s="32">
        <f>AA55</f>
        <v>893</v>
      </c>
      <c r="AC55" s="32">
        <f>AB55</f>
        <v>893</v>
      </c>
      <c r="AD55" s="32">
        <f>AC55</f>
        <v>893</v>
      </c>
      <c r="AE55" s="32">
        <f>AD55</f>
        <v>893</v>
      </c>
      <c r="AF55" s="32">
        <f>AE55</f>
        <v>893</v>
      </c>
      <c r="AG55" s="39">
        <f>AF55</f>
        <v>893</v>
      </c>
      <c r="AH55" s="10">
        <f>AG55</f>
        <v>893</v>
      </c>
      <c r="AI55" s="39">
        <f>AH55</f>
        <v>893</v>
      </c>
      <c r="AJ55" s="31" t="s">
        <v>3</v>
      </c>
      <c r="AK55" s="31"/>
      <c r="AL55" s="31"/>
      <c r="AM55" s="31"/>
      <c r="AO55" s="31"/>
      <c r="BB55" s="2" t="s">
        <v>258</v>
      </c>
    </row>
    <row r="56" spans="1:54" ht="18.75" customHeight="1" x14ac:dyDescent="0.35">
      <c r="A56" s="2">
        <v>5472100071</v>
      </c>
      <c r="B56" s="2">
        <v>590</v>
      </c>
      <c r="D56" s="2" t="s">
        <v>114</v>
      </c>
      <c r="E56" s="2" t="s">
        <v>115</v>
      </c>
      <c r="F56" s="5">
        <f>650+99</f>
        <v>749</v>
      </c>
      <c r="G56" s="5">
        <f>650+99</f>
        <v>749</v>
      </c>
      <c r="H56" s="5">
        <f>749+159</f>
        <v>908</v>
      </c>
      <c r="I56" s="5">
        <f>749+159</f>
        <v>908</v>
      </c>
      <c r="J56" s="5">
        <f>749+159</f>
        <v>908</v>
      </c>
      <c r="K56" s="5">
        <f>749+159</f>
        <v>908</v>
      </c>
      <c r="L56" s="5">
        <f>749+159</f>
        <v>908</v>
      </c>
      <c r="M56" s="5">
        <f>749+159</f>
        <v>908</v>
      </c>
      <c r="N56" s="5">
        <f>749+159</f>
        <v>908</v>
      </c>
      <c r="O56" s="5">
        <f>749+159</f>
        <v>908</v>
      </c>
      <c r="P56" s="5">
        <f>749+159</f>
        <v>908</v>
      </c>
      <c r="Q56" s="5">
        <f>749+159</f>
        <v>908</v>
      </c>
      <c r="R56" s="7">
        <f>749+159</f>
        <v>908</v>
      </c>
      <c r="S56" s="5">
        <f>PRODUCT(R56*1.15)</f>
        <v>1044.1999999999998</v>
      </c>
      <c r="T56" s="5">
        <f>S56</f>
        <v>1044.1999999999998</v>
      </c>
      <c r="U56" s="5">
        <f>T56</f>
        <v>1044.1999999999998</v>
      </c>
      <c r="V56" s="5">
        <f>U56</f>
        <v>1044.1999999999998</v>
      </c>
      <c r="W56" s="5">
        <f>V56</f>
        <v>1044.1999999999998</v>
      </c>
      <c r="X56" s="5">
        <f>W56</f>
        <v>1044.1999999999998</v>
      </c>
      <c r="Y56" s="5">
        <f>X56</f>
        <v>1044.1999999999998</v>
      </c>
      <c r="Z56" s="5">
        <f>Y56</f>
        <v>1044.1999999999998</v>
      </c>
      <c r="AA56" s="5">
        <f>Z56</f>
        <v>1044.1999999999998</v>
      </c>
      <c r="AB56" s="5">
        <f>AA56</f>
        <v>1044.1999999999998</v>
      </c>
      <c r="AC56" s="32">
        <f>AB56</f>
        <v>1044.1999999999998</v>
      </c>
      <c r="AD56" s="32">
        <f>AC56</f>
        <v>1044.1999999999998</v>
      </c>
      <c r="AE56" s="32">
        <f>AD56</f>
        <v>1044.1999999999998</v>
      </c>
      <c r="AF56" s="32">
        <f>AE56</f>
        <v>1044.1999999999998</v>
      </c>
      <c r="AG56" s="32">
        <f>AF56</f>
        <v>1044.1999999999998</v>
      </c>
      <c r="AH56" s="32">
        <f>AG56</f>
        <v>1044.1999999999998</v>
      </c>
      <c r="AI56" s="2" t="s">
        <v>3</v>
      </c>
      <c r="BB56" s="2" t="s">
        <v>257</v>
      </c>
    </row>
    <row r="57" spans="1:54" ht="15.75" customHeight="1" x14ac:dyDescent="0.35">
      <c r="A57" s="2">
        <v>6342945468</v>
      </c>
      <c r="B57" s="2">
        <v>571</v>
      </c>
      <c r="D57" s="2" t="s">
        <v>116</v>
      </c>
      <c r="E57" s="2" t="s">
        <v>117</v>
      </c>
      <c r="F57" s="5">
        <v>804.8</v>
      </c>
      <c r="G57" s="5">
        <v>804.8</v>
      </c>
      <c r="H57" s="5">
        <v>804.8</v>
      </c>
      <c r="I57" s="5">
        <v>804.8</v>
      </c>
      <c r="J57" s="5">
        <v>804.8</v>
      </c>
      <c r="K57" s="5">
        <v>804.8</v>
      </c>
      <c r="L57" s="5">
        <v>804.8</v>
      </c>
      <c r="M57" s="5">
        <v>804.8</v>
      </c>
      <c r="N57" s="5">
        <v>804.8</v>
      </c>
      <c r="O57" s="5">
        <v>804.8</v>
      </c>
      <c r="P57" s="5">
        <v>804.8</v>
      </c>
      <c r="Q57" s="5">
        <v>804.8</v>
      </c>
      <c r="R57" s="32">
        <v>804.8</v>
      </c>
      <c r="S57" s="32">
        <f>PRODUCT(R57*1.15)</f>
        <v>925.51999999999987</v>
      </c>
      <c r="T57" s="32">
        <f>S57</f>
        <v>925.51999999999987</v>
      </c>
      <c r="U57" s="32">
        <f>T57</f>
        <v>925.51999999999987</v>
      </c>
      <c r="V57" s="32">
        <f>U57</f>
        <v>925.51999999999987</v>
      </c>
      <c r="W57" s="5">
        <f>V57</f>
        <v>925.51999999999987</v>
      </c>
      <c r="X57" s="5">
        <f>W57</f>
        <v>925.51999999999987</v>
      </c>
      <c r="Y57" s="5">
        <f>X57</f>
        <v>925.51999999999987</v>
      </c>
      <c r="Z57" s="5">
        <f>Y57</f>
        <v>925.51999999999987</v>
      </c>
      <c r="AA57" s="5">
        <f>Z57</f>
        <v>925.51999999999987</v>
      </c>
      <c r="AB57" s="5">
        <f>AA57</f>
        <v>925.51999999999987</v>
      </c>
      <c r="AC57" s="32">
        <f>AB57</f>
        <v>925.51999999999987</v>
      </c>
      <c r="AD57" s="32">
        <f>AC57</f>
        <v>925.51999999999987</v>
      </c>
      <c r="AE57" s="32">
        <f>AD57</f>
        <v>925.51999999999987</v>
      </c>
      <c r="AF57" s="32">
        <f>AE57</f>
        <v>925.51999999999987</v>
      </c>
      <c r="AG57" s="32">
        <f>AF57</f>
        <v>925.51999999999987</v>
      </c>
      <c r="AH57" s="32">
        <f>AG57</f>
        <v>925.51999999999987</v>
      </c>
      <c r="AI57" s="2" t="s">
        <v>3</v>
      </c>
      <c r="BB57" s="2" t="s">
        <v>257</v>
      </c>
    </row>
    <row r="58" spans="1:54" ht="15.75" customHeight="1" x14ac:dyDescent="0.35">
      <c r="A58" s="2">
        <v>6861691753</v>
      </c>
      <c r="B58" s="2">
        <v>828</v>
      </c>
      <c r="D58" s="2" t="s">
        <v>125</v>
      </c>
      <c r="E58" s="1" t="s">
        <v>126</v>
      </c>
      <c r="L58" s="5">
        <v>1093.2</v>
      </c>
      <c r="M58" s="5">
        <v>1093.2</v>
      </c>
      <c r="N58" s="5">
        <v>1093.2</v>
      </c>
      <c r="O58" s="5">
        <v>1093.2</v>
      </c>
      <c r="P58" s="5">
        <v>1093.2</v>
      </c>
      <c r="Q58" s="5">
        <v>1093.2</v>
      </c>
      <c r="R58" s="32">
        <v>0</v>
      </c>
      <c r="S58" s="32">
        <v>1093.2</v>
      </c>
      <c r="T58" s="32">
        <f>S58</f>
        <v>1093.2</v>
      </c>
      <c r="U58" s="32">
        <f>T58</f>
        <v>1093.2</v>
      </c>
      <c r="V58" s="32">
        <f>U58</f>
        <v>1093.2</v>
      </c>
      <c r="W58" s="5">
        <f>V58</f>
        <v>1093.2</v>
      </c>
      <c r="X58" s="5">
        <f>W58</f>
        <v>1093.2</v>
      </c>
      <c r="Y58" s="5">
        <f>X58</f>
        <v>1093.2</v>
      </c>
      <c r="Z58" s="5">
        <f>Y58</f>
        <v>1093.2</v>
      </c>
      <c r="AA58" s="5">
        <f>Z58</f>
        <v>1093.2</v>
      </c>
      <c r="AB58" s="5">
        <f>AA58</f>
        <v>1093.2</v>
      </c>
      <c r="AC58" s="32">
        <f>AB58</f>
        <v>1093.2</v>
      </c>
      <c r="AD58" s="32">
        <f>AC58</f>
        <v>1093.2</v>
      </c>
      <c r="AE58" s="32">
        <f>AD58</f>
        <v>1093.2</v>
      </c>
      <c r="AF58" s="32">
        <f>AE58</f>
        <v>1093.2</v>
      </c>
      <c r="AG58" s="32">
        <f>AF58</f>
        <v>1093.2</v>
      </c>
      <c r="AH58" s="2" t="s">
        <v>3</v>
      </c>
      <c r="BB58" s="2" t="s">
        <v>256</v>
      </c>
    </row>
    <row r="59" spans="1:54" x14ac:dyDescent="0.35">
      <c r="A59" s="2">
        <v>8371638959</v>
      </c>
      <c r="B59" s="2">
        <v>1000000062</v>
      </c>
      <c r="D59" s="2" t="s">
        <v>109</v>
      </c>
      <c r="E59" s="2" t="s">
        <v>110</v>
      </c>
      <c r="R59" s="6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9">
        <f>958*16/29</f>
        <v>528.55172413793105</v>
      </c>
      <c r="AF59" s="39">
        <f>958</f>
        <v>958</v>
      </c>
      <c r="AG59" s="39">
        <f>958</f>
        <v>958</v>
      </c>
      <c r="AH59" s="2" t="s">
        <v>3</v>
      </c>
      <c r="AI59" s="2" t="s">
        <v>3</v>
      </c>
      <c r="BB59" s="2" t="s">
        <v>256</v>
      </c>
    </row>
    <row r="60" spans="1:54" x14ac:dyDescent="0.35">
      <c r="A60" s="2">
        <v>5213095056</v>
      </c>
      <c r="B60" s="2">
        <v>39</v>
      </c>
      <c r="D60" s="2" t="s">
        <v>97</v>
      </c>
      <c r="E60" s="2" t="s">
        <v>98</v>
      </c>
      <c r="F60" s="5">
        <v>1400</v>
      </c>
      <c r="G60" s="5">
        <v>1400</v>
      </c>
      <c r="H60" s="5">
        <v>1400</v>
      </c>
      <c r="I60" s="5">
        <v>1400</v>
      </c>
      <c r="J60" s="5">
        <v>1400</v>
      </c>
      <c r="K60" s="5">
        <v>1400</v>
      </c>
      <c r="L60" s="5">
        <v>1400</v>
      </c>
      <c r="M60" s="5">
        <v>1400</v>
      </c>
      <c r="N60" s="5">
        <v>1400</v>
      </c>
      <c r="O60" s="5">
        <v>1400</v>
      </c>
      <c r="P60" s="5">
        <v>1400</v>
      </c>
      <c r="Q60" s="5">
        <v>1400</v>
      </c>
      <c r="R60" s="7">
        <v>1400</v>
      </c>
      <c r="S60" s="32">
        <v>1400</v>
      </c>
      <c r="T60" s="32">
        <f>S60</f>
        <v>1400</v>
      </c>
      <c r="U60" s="32">
        <f>T60</f>
        <v>1400</v>
      </c>
      <c r="V60" s="32">
        <f>U60</f>
        <v>1400</v>
      </c>
      <c r="W60" s="32">
        <f>V60</f>
        <v>1400</v>
      </c>
      <c r="X60" s="32">
        <f>W60</f>
        <v>1400</v>
      </c>
      <c r="Y60" s="32">
        <f>X60</f>
        <v>1400</v>
      </c>
      <c r="Z60" s="32">
        <f>Y60</f>
        <v>1400</v>
      </c>
      <c r="AA60" s="32">
        <f>Z60</f>
        <v>1400</v>
      </c>
      <c r="AB60" s="32">
        <f>AA60</f>
        <v>1400</v>
      </c>
      <c r="AC60" s="32">
        <f>AB60</f>
        <v>1400</v>
      </c>
      <c r="AD60" s="32">
        <f>AC60</f>
        <v>1400</v>
      </c>
      <c r="AE60" s="32">
        <f>AD60</f>
        <v>1400</v>
      </c>
      <c r="AF60" s="32">
        <f>AE60</f>
        <v>1400</v>
      </c>
      <c r="AG60" s="31" t="s">
        <v>3</v>
      </c>
      <c r="AH60" s="31" t="s">
        <v>3</v>
      </c>
      <c r="AI60" s="31"/>
      <c r="AJ60" s="31"/>
      <c r="AK60" s="31"/>
      <c r="AL60" s="31"/>
      <c r="AM60" s="31"/>
      <c r="AN60" s="31"/>
      <c r="AO60" s="31"/>
      <c r="AP60" s="31"/>
      <c r="AQ60" s="31"/>
      <c r="BB60" s="2" t="s">
        <v>255</v>
      </c>
    </row>
    <row r="61" spans="1:54" x14ac:dyDescent="0.35">
      <c r="A61" s="2">
        <v>6692304416</v>
      </c>
      <c r="B61" s="2">
        <v>753</v>
      </c>
      <c r="D61" s="2" t="s">
        <v>107</v>
      </c>
      <c r="E61" s="2" t="s">
        <v>108</v>
      </c>
      <c r="F61" s="5">
        <v>750</v>
      </c>
      <c r="G61" s="5">
        <v>750</v>
      </c>
      <c r="H61" s="5">
        <v>750</v>
      </c>
      <c r="I61" s="5">
        <v>750</v>
      </c>
      <c r="J61" s="5">
        <f>750*0.3+0.7*1067</f>
        <v>971.9</v>
      </c>
      <c r="K61" s="5">
        <v>1067</v>
      </c>
      <c r="L61" s="5">
        <v>1067</v>
      </c>
      <c r="M61" s="5">
        <v>1067</v>
      </c>
      <c r="N61" s="5">
        <v>1067</v>
      </c>
      <c r="O61" s="5">
        <v>1067</v>
      </c>
      <c r="P61" s="5">
        <v>1067</v>
      </c>
      <c r="Q61" s="5">
        <v>1067</v>
      </c>
      <c r="R61" s="7">
        <v>1067</v>
      </c>
      <c r="S61" s="5">
        <v>1067</v>
      </c>
      <c r="T61" s="5">
        <f>S61</f>
        <v>1067</v>
      </c>
      <c r="U61" s="5">
        <f>T61</f>
        <v>1067</v>
      </c>
      <c r="V61" s="5">
        <f>U61</f>
        <v>1067</v>
      </c>
      <c r="W61" s="5">
        <f>V61</f>
        <v>1067</v>
      </c>
      <c r="X61" s="5">
        <f>W61</f>
        <v>1067</v>
      </c>
      <c r="Y61" s="5">
        <f>X61</f>
        <v>1067</v>
      </c>
      <c r="Z61" s="5">
        <f>Y61</f>
        <v>1067</v>
      </c>
      <c r="AA61" s="5">
        <f>Z61</f>
        <v>1067</v>
      </c>
      <c r="AB61" s="5">
        <f>AA61</f>
        <v>1067</v>
      </c>
      <c r="AC61" s="32">
        <f>AB61</f>
        <v>1067</v>
      </c>
      <c r="AD61" s="32">
        <f>AC61</f>
        <v>1067</v>
      </c>
      <c r="AE61" s="32">
        <f>AD61</f>
        <v>1067</v>
      </c>
      <c r="AF61" s="32">
        <f>AE61</f>
        <v>1067</v>
      </c>
      <c r="AG61" s="2" t="s">
        <v>3</v>
      </c>
      <c r="AH61" s="2" t="s">
        <v>3</v>
      </c>
      <c r="BB61" s="2" t="s">
        <v>255</v>
      </c>
    </row>
    <row r="62" spans="1:54" x14ac:dyDescent="0.35">
      <c r="A62" s="2">
        <v>9141566659</v>
      </c>
      <c r="D62" s="2" t="s">
        <v>105</v>
      </c>
      <c r="E62" s="2" t="s">
        <v>106</v>
      </c>
      <c r="F62" s="5">
        <v>960.3</v>
      </c>
      <c r="G62" s="5">
        <v>960.3</v>
      </c>
      <c r="H62" s="5">
        <f>960.3+159</f>
        <v>1119.3</v>
      </c>
      <c r="I62" s="5">
        <f>960.3+159</f>
        <v>1119.3</v>
      </c>
      <c r="J62" s="5">
        <f>960.3+159</f>
        <v>1119.3</v>
      </c>
      <c r="K62" s="5">
        <f>960.3+159</f>
        <v>1119.3</v>
      </c>
      <c r="L62" s="5">
        <f>960.3+159</f>
        <v>1119.3</v>
      </c>
      <c r="M62" s="5">
        <f>960.3+159</f>
        <v>1119.3</v>
      </c>
      <c r="N62" s="5">
        <f>960.3+159</f>
        <v>1119.3</v>
      </c>
      <c r="O62" s="5">
        <f>960.3+159</f>
        <v>1119.3</v>
      </c>
      <c r="P62" s="5">
        <f>960.3+159</f>
        <v>1119.3</v>
      </c>
      <c r="Q62" s="5">
        <f>960.3+159</f>
        <v>1119.3</v>
      </c>
      <c r="R62" s="7">
        <f>960.3+159</f>
        <v>1119.3</v>
      </c>
      <c r="S62" s="5">
        <f>PRODUCT(R62*1.15)</f>
        <v>1287.1949999999999</v>
      </c>
      <c r="T62" s="5">
        <f>S62</f>
        <v>1287.1949999999999</v>
      </c>
      <c r="U62" s="5">
        <f>T62</f>
        <v>1287.1949999999999</v>
      </c>
      <c r="V62" s="32">
        <f>U62</f>
        <v>1287.1949999999999</v>
      </c>
      <c r="W62" s="32">
        <f>V62</f>
        <v>1287.1949999999999</v>
      </c>
      <c r="X62" s="32">
        <f>W62</f>
        <v>1287.1949999999999</v>
      </c>
      <c r="Y62" s="32">
        <f>X62</f>
        <v>1287.1949999999999</v>
      </c>
      <c r="Z62" s="32">
        <f>Y62</f>
        <v>1287.1949999999999</v>
      </c>
      <c r="AA62" s="32">
        <f>Z62</f>
        <v>1287.1949999999999</v>
      </c>
      <c r="AB62" s="32">
        <f>AA62</f>
        <v>1287.1949999999999</v>
      </c>
      <c r="AC62" s="32">
        <f>AB62</f>
        <v>1287.1949999999999</v>
      </c>
      <c r="AD62" s="32">
        <f>AC62</f>
        <v>1287.1949999999999</v>
      </c>
      <c r="AE62" s="32">
        <f>AD62</f>
        <v>1287.1949999999999</v>
      </c>
      <c r="AF62" s="32">
        <f>AE62</f>
        <v>1287.1949999999999</v>
      </c>
      <c r="AG62" s="31" t="s">
        <v>3</v>
      </c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BB62" s="14" t="s">
        <v>255</v>
      </c>
    </row>
    <row r="63" spans="1:54" x14ac:dyDescent="0.35">
      <c r="A63" s="2">
        <v>5222999260</v>
      </c>
      <c r="B63" s="2">
        <v>336</v>
      </c>
      <c r="D63" s="1" t="s">
        <v>99</v>
      </c>
      <c r="E63" s="2" t="s">
        <v>100</v>
      </c>
      <c r="F63" s="5">
        <v>623</v>
      </c>
      <c r="G63" s="5">
        <v>623</v>
      </c>
      <c r="H63" s="5">
        <v>623</v>
      </c>
      <c r="I63" s="5">
        <v>623</v>
      </c>
      <c r="J63" s="5">
        <v>623</v>
      </c>
      <c r="K63" s="5">
        <v>623</v>
      </c>
      <c r="L63" s="5">
        <v>623</v>
      </c>
      <c r="M63" s="5">
        <v>623</v>
      </c>
      <c r="N63" s="5">
        <v>623</v>
      </c>
      <c r="O63" s="5">
        <v>623</v>
      </c>
      <c r="P63" s="5">
        <v>623</v>
      </c>
      <c r="Q63" s="5">
        <v>623</v>
      </c>
      <c r="R63" s="7">
        <v>623</v>
      </c>
      <c r="S63" s="2">
        <f>PRODUCT(R63*1.15)</f>
        <v>716.44999999999993</v>
      </c>
      <c r="T63" s="5">
        <f>S63</f>
        <v>716.44999999999993</v>
      </c>
      <c r="U63" s="5">
        <f>T63</f>
        <v>716.44999999999993</v>
      </c>
      <c r="V63" s="5">
        <f>U63</f>
        <v>716.44999999999993</v>
      </c>
      <c r="W63" s="5">
        <f>V63</f>
        <v>716.44999999999993</v>
      </c>
      <c r="X63" s="5">
        <f>W63</f>
        <v>716.44999999999993</v>
      </c>
      <c r="Y63" s="5">
        <f>X63</f>
        <v>716.44999999999993</v>
      </c>
      <c r="Z63" s="5">
        <f>Y63</f>
        <v>716.44999999999993</v>
      </c>
      <c r="AA63" s="5">
        <f>Z63</f>
        <v>716.44999999999993</v>
      </c>
      <c r="AB63" s="5">
        <f>AA63+318</f>
        <v>1034.4499999999998</v>
      </c>
      <c r="AC63" s="32">
        <f>AB63</f>
        <v>1034.4499999999998</v>
      </c>
      <c r="AD63" s="2">
        <v>716.45</v>
      </c>
      <c r="AE63" s="32">
        <v>716.45</v>
      </c>
      <c r="AF63" s="2" t="s">
        <v>3</v>
      </c>
      <c r="BB63" s="2" t="s">
        <v>254</v>
      </c>
    </row>
    <row r="64" spans="1:54" ht="15.75" customHeight="1" x14ac:dyDescent="0.35">
      <c r="A64" s="2">
        <v>6783144467</v>
      </c>
      <c r="D64" s="2" t="s">
        <v>103</v>
      </c>
      <c r="E64" s="2" t="s">
        <v>104</v>
      </c>
      <c r="R64" s="6"/>
      <c r="Z64" s="5">
        <f>13/30*1465</f>
        <v>634.83333333333337</v>
      </c>
      <c r="AA64" s="5">
        <v>1465</v>
      </c>
      <c r="AB64" s="5">
        <v>1465</v>
      </c>
      <c r="AC64" s="39">
        <f>AB64</f>
        <v>1465</v>
      </c>
      <c r="AD64" s="39">
        <f>AC64</f>
        <v>1465</v>
      </c>
      <c r="AE64" s="39">
        <f>AD64</f>
        <v>1465</v>
      </c>
      <c r="AF64" s="31" t="s">
        <v>3</v>
      </c>
      <c r="AG64" s="39"/>
      <c r="AH64" s="39"/>
      <c r="AI64" s="31"/>
      <c r="AJ64" s="31"/>
      <c r="AK64" s="31"/>
      <c r="AL64" s="31"/>
      <c r="AM64" s="31"/>
      <c r="AN64" s="31"/>
      <c r="AO64" s="31"/>
      <c r="AP64" s="31"/>
      <c r="BB64" s="2" t="s">
        <v>254</v>
      </c>
    </row>
    <row r="65" spans="1:54" ht="15.75" customHeight="1" x14ac:dyDescent="0.35">
      <c r="A65" s="2">
        <v>7262648898</v>
      </c>
      <c r="B65" s="2">
        <v>785</v>
      </c>
      <c r="D65" s="2" t="s">
        <v>95</v>
      </c>
      <c r="E65" s="2" t="s">
        <v>96</v>
      </c>
      <c r="G65" s="5">
        <f>6/28*990.4</f>
        <v>212.2285714285714</v>
      </c>
      <c r="H65" s="5">
        <v>990.4</v>
      </c>
      <c r="I65" s="5">
        <v>990.4</v>
      </c>
      <c r="J65" s="5">
        <v>990.4</v>
      </c>
      <c r="K65" s="5">
        <v>990.4</v>
      </c>
      <c r="L65" s="5">
        <v>990.4</v>
      </c>
      <c r="M65" s="5">
        <v>990.4</v>
      </c>
      <c r="N65" s="5">
        <v>990.4</v>
      </c>
      <c r="O65" s="5">
        <v>990.4</v>
      </c>
      <c r="P65" s="5">
        <v>990.4</v>
      </c>
      <c r="Q65" s="5">
        <v>990.4</v>
      </c>
      <c r="R65" s="32">
        <v>990.4</v>
      </c>
      <c r="S65" s="31">
        <f>PRODUCT(R65*1.15)</f>
        <v>1138.9599999999998</v>
      </c>
      <c r="T65" s="32">
        <f>S65</f>
        <v>1138.9599999999998</v>
      </c>
      <c r="U65" s="32">
        <f>T65</f>
        <v>1138.9599999999998</v>
      </c>
      <c r="V65" s="32">
        <f>U65</f>
        <v>1138.9599999999998</v>
      </c>
      <c r="W65" s="5">
        <f>V65</f>
        <v>1138.9599999999998</v>
      </c>
      <c r="X65" s="5">
        <f>W65</f>
        <v>1138.9599999999998</v>
      </c>
      <c r="Y65" s="5">
        <f>X65</f>
        <v>1138.9599999999998</v>
      </c>
      <c r="Z65" s="5">
        <f>Y65</f>
        <v>1138.9599999999998</v>
      </c>
      <c r="AA65" s="5">
        <f>Z65</f>
        <v>1138.9599999999998</v>
      </c>
      <c r="AB65" s="5">
        <f>AA65</f>
        <v>1138.9599999999998</v>
      </c>
      <c r="AC65" s="32">
        <f>AB65</f>
        <v>1138.9599999999998</v>
      </c>
      <c r="AD65" s="32">
        <f>AC65</f>
        <v>1138.9599999999998</v>
      </c>
      <c r="AE65" s="32">
        <f>AD65</f>
        <v>1138.9599999999998</v>
      </c>
      <c r="AF65" s="2" t="s">
        <v>3</v>
      </c>
      <c r="AG65" s="2" t="s">
        <v>3</v>
      </c>
      <c r="BB65" s="2" t="s">
        <v>254</v>
      </c>
    </row>
    <row r="66" spans="1:54" ht="15.75" customHeight="1" thickBot="1" x14ac:dyDescent="0.4">
      <c r="A66" s="2">
        <v>9721190768</v>
      </c>
      <c r="B66" s="2">
        <v>942</v>
      </c>
      <c r="D66" s="1" t="s">
        <v>101</v>
      </c>
      <c r="E66" s="2" t="s">
        <v>102</v>
      </c>
      <c r="R66" s="9">
        <f>12/31*1602</f>
        <v>620.12903225806451</v>
      </c>
      <c r="S66" s="9">
        <f>1602</f>
        <v>1602</v>
      </c>
      <c r="T66" s="5">
        <f>S66</f>
        <v>1602</v>
      </c>
      <c r="U66" s="5">
        <f>T66</f>
        <v>1602</v>
      </c>
      <c r="V66" s="5">
        <f>U66</f>
        <v>1602</v>
      </c>
      <c r="W66" s="5">
        <f>V66</f>
        <v>1602</v>
      </c>
      <c r="X66" s="5">
        <f>W66</f>
        <v>1602</v>
      </c>
      <c r="Y66" s="5">
        <f>X66</f>
        <v>1602</v>
      </c>
      <c r="Z66" s="5">
        <f>Y66</f>
        <v>1602</v>
      </c>
      <c r="AA66" s="5">
        <f>Z66</f>
        <v>1602</v>
      </c>
      <c r="AB66" s="5">
        <f>AA66</f>
        <v>1602</v>
      </c>
      <c r="AC66" s="32">
        <f>AB66</f>
        <v>1602</v>
      </c>
      <c r="AD66" s="32">
        <f>AC66</f>
        <v>1602</v>
      </c>
      <c r="AE66" s="32">
        <f>AD66</f>
        <v>1602</v>
      </c>
      <c r="AF66" s="31" t="s">
        <v>3</v>
      </c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BB66" s="14" t="s">
        <v>254</v>
      </c>
    </row>
    <row r="67" spans="1:54" ht="15.75" customHeight="1" x14ac:dyDescent="0.35">
      <c r="A67" s="2">
        <v>1181640926</v>
      </c>
      <c r="D67" s="2" t="s">
        <v>130</v>
      </c>
      <c r="E67" s="2" t="s">
        <v>131</v>
      </c>
      <c r="M67" s="5">
        <f>7/31*636</f>
        <v>143.61290322580643</v>
      </c>
      <c r="N67" s="5">
        <v>636</v>
      </c>
      <c r="O67" s="5">
        <v>636</v>
      </c>
      <c r="P67" s="5">
        <v>636</v>
      </c>
      <c r="Q67" s="5">
        <v>636</v>
      </c>
      <c r="R67" s="31"/>
      <c r="S67" s="31"/>
      <c r="T67" s="31"/>
      <c r="U67" s="5">
        <f>636*1.15</f>
        <v>731.4</v>
      </c>
      <c r="V67" s="32">
        <f>636*1.15</f>
        <v>731.4</v>
      </c>
      <c r="W67" s="32">
        <f>636*1.15</f>
        <v>731.4</v>
      </c>
      <c r="X67" s="32">
        <f>636*1.15</f>
        <v>731.4</v>
      </c>
      <c r="Y67" s="32">
        <f>636*1.15</f>
        <v>731.4</v>
      </c>
      <c r="Z67" s="32">
        <f>636*1.15</f>
        <v>731.4</v>
      </c>
      <c r="AA67" s="32">
        <f>636*1.15</f>
        <v>731.4</v>
      </c>
      <c r="AB67" s="32">
        <f>636*1.15</f>
        <v>731.4</v>
      </c>
      <c r="AC67" s="32">
        <f>AB67</f>
        <v>731.4</v>
      </c>
      <c r="AD67" s="32">
        <f>AC67</f>
        <v>731.4</v>
      </c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BB67" s="2" t="s">
        <v>253</v>
      </c>
    </row>
    <row r="68" spans="1:54" ht="15.75" customHeight="1" x14ac:dyDescent="0.35">
      <c r="A68" s="2">
        <v>7011106763</v>
      </c>
      <c r="B68" s="2">
        <v>922</v>
      </c>
      <c r="D68" s="2" t="s">
        <v>93</v>
      </c>
      <c r="E68" s="2" t="s">
        <v>94</v>
      </c>
      <c r="Q68" s="5">
        <f>23/31*1135.43</f>
        <v>842.41580645161298</v>
      </c>
      <c r="R68" s="5">
        <v>1135.43</v>
      </c>
      <c r="S68" s="5">
        <v>1135.43</v>
      </c>
      <c r="T68" s="5">
        <f>S68</f>
        <v>1135.43</v>
      </c>
      <c r="U68" s="5">
        <f>T68</f>
        <v>1135.43</v>
      </c>
      <c r="V68" s="5">
        <f>U68+169</f>
        <v>1304.43</v>
      </c>
      <c r="W68" s="5">
        <f>V68</f>
        <v>1304.43</v>
      </c>
      <c r="X68" s="5">
        <f>W68</f>
        <v>1304.43</v>
      </c>
      <c r="Y68" s="5">
        <f>X68</f>
        <v>1304.43</v>
      </c>
      <c r="Z68" s="5">
        <f>Y68</f>
        <v>1304.43</v>
      </c>
      <c r="AA68" s="5">
        <f>Z68</f>
        <v>1304.43</v>
      </c>
      <c r="AB68" s="5">
        <f>AA68</f>
        <v>1304.43</v>
      </c>
      <c r="AC68" s="32">
        <f>AB68</f>
        <v>1304.43</v>
      </c>
      <c r="AD68" s="32">
        <f>AC68</f>
        <v>1304.43</v>
      </c>
      <c r="AE68" s="31" t="s">
        <v>3</v>
      </c>
      <c r="AF68" s="31" t="s">
        <v>3</v>
      </c>
      <c r="BB68" s="2" t="s">
        <v>253</v>
      </c>
    </row>
    <row r="69" spans="1:54" ht="15.75" customHeight="1" x14ac:dyDescent="0.35">
      <c r="A69" s="2">
        <v>5262813327</v>
      </c>
      <c r="B69" s="2">
        <v>735</v>
      </c>
      <c r="D69" s="2" t="s">
        <v>89</v>
      </c>
      <c r="E69" s="2" t="s">
        <v>90</v>
      </c>
      <c r="F69" s="5">
        <v>813</v>
      </c>
      <c r="G69" s="5">
        <v>813</v>
      </c>
      <c r="H69" s="5">
        <v>813</v>
      </c>
      <c r="I69" s="5">
        <v>813</v>
      </c>
      <c r="J69" s="5">
        <v>813</v>
      </c>
      <c r="K69" s="5">
        <v>813</v>
      </c>
      <c r="L69" s="5">
        <v>813</v>
      </c>
      <c r="M69" s="5">
        <v>813</v>
      </c>
      <c r="N69" s="5">
        <v>813</v>
      </c>
      <c r="O69" s="5">
        <v>813</v>
      </c>
      <c r="P69" s="5">
        <v>813</v>
      </c>
      <c r="Q69" s="5">
        <v>813</v>
      </c>
      <c r="R69" s="32">
        <v>813</v>
      </c>
      <c r="S69" s="5">
        <v>813</v>
      </c>
      <c r="T69" s="5">
        <v>813</v>
      </c>
      <c r="U69" s="5">
        <f>T69</f>
        <v>813</v>
      </c>
      <c r="V69" s="5">
        <f>U69</f>
        <v>813</v>
      </c>
      <c r="W69" s="5">
        <f>V69</f>
        <v>813</v>
      </c>
      <c r="X69" s="5">
        <f>W69</f>
        <v>813</v>
      </c>
      <c r="Y69" s="5">
        <f>X69</f>
        <v>813</v>
      </c>
      <c r="Z69" s="5">
        <f>Y69</f>
        <v>813</v>
      </c>
      <c r="AA69" s="5">
        <f>Z69</f>
        <v>813</v>
      </c>
      <c r="AB69" s="5">
        <f>AA69</f>
        <v>813</v>
      </c>
      <c r="AC69" s="32">
        <f>AB69</f>
        <v>813</v>
      </c>
      <c r="AD69" s="31" t="s">
        <v>3</v>
      </c>
      <c r="AE69" s="31"/>
      <c r="BB69" s="2" t="s">
        <v>252</v>
      </c>
    </row>
    <row r="70" spans="1:54" ht="15.75" customHeight="1" x14ac:dyDescent="0.35">
      <c r="A70" s="2">
        <v>6431621201</v>
      </c>
      <c r="B70" s="2">
        <v>257</v>
      </c>
      <c r="D70" s="2" t="s">
        <v>85</v>
      </c>
      <c r="E70" s="2" t="s">
        <v>86</v>
      </c>
      <c r="F70" s="5">
        <v>300</v>
      </c>
      <c r="G70" s="5">
        <v>300</v>
      </c>
      <c r="H70" s="5">
        <v>300</v>
      </c>
      <c r="I70" s="5">
        <v>300</v>
      </c>
      <c r="J70" s="5">
        <v>300</v>
      </c>
      <c r="K70" s="5">
        <v>300</v>
      </c>
      <c r="L70" s="5">
        <v>300</v>
      </c>
      <c r="M70" s="5">
        <v>300</v>
      </c>
      <c r="N70" s="5">
        <v>300</v>
      </c>
      <c r="O70" s="5">
        <v>300</v>
      </c>
      <c r="P70" s="5">
        <v>300</v>
      </c>
      <c r="Q70" s="5">
        <v>300</v>
      </c>
      <c r="R70" s="32">
        <v>300</v>
      </c>
      <c r="S70" s="5">
        <f>R70*1.15</f>
        <v>345</v>
      </c>
      <c r="T70" s="32">
        <f>S70</f>
        <v>345</v>
      </c>
      <c r="U70" s="32">
        <f>T70</f>
        <v>345</v>
      </c>
      <c r="V70" s="32">
        <f>U70</f>
        <v>345</v>
      </c>
      <c r="W70" s="32">
        <f>V70</f>
        <v>345</v>
      </c>
      <c r="X70" s="32">
        <f>W70</f>
        <v>345</v>
      </c>
      <c r="Y70" s="32">
        <f>X70</f>
        <v>345</v>
      </c>
      <c r="Z70" s="32">
        <f>Y70</f>
        <v>345</v>
      </c>
      <c r="AA70" s="32">
        <f>Z70</f>
        <v>345</v>
      </c>
      <c r="AB70" s="32">
        <f>AA70</f>
        <v>345</v>
      </c>
      <c r="AC70" s="32">
        <f>AB70</f>
        <v>345</v>
      </c>
      <c r="AD70" s="32" t="s">
        <v>3</v>
      </c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BB70" s="2" t="s">
        <v>252</v>
      </c>
    </row>
    <row r="71" spans="1:54" ht="18.75" customHeight="1" x14ac:dyDescent="0.35">
      <c r="A71" s="2">
        <v>7492088894</v>
      </c>
      <c r="B71" s="2">
        <v>593</v>
      </c>
      <c r="D71" s="2" t="s">
        <v>87</v>
      </c>
      <c r="E71" s="2" t="s">
        <v>88</v>
      </c>
      <c r="F71" s="5">
        <v>1300</v>
      </c>
      <c r="G71" s="5">
        <v>1300</v>
      </c>
      <c r="H71" s="5">
        <v>1300</v>
      </c>
      <c r="I71" s="5">
        <v>1300</v>
      </c>
      <c r="J71" s="5">
        <v>1300</v>
      </c>
      <c r="K71" s="5">
        <v>1300</v>
      </c>
      <c r="L71" s="5">
        <v>1300</v>
      </c>
      <c r="M71" s="5">
        <v>1300</v>
      </c>
      <c r="N71" s="5">
        <v>1300</v>
      </c>
      <c r="O71" s="5">
        <v>1300</v>
      </c>
      <c r="P71" s="5">
        <v>1300</v>
      </c>
      <c r="Q71" s="5">
        <v>1300</v>
      </c>
      <c r="R71" s="7">
        <v>1300</v>
      </c>
      <c r="S71" s="5">
        <f>R71*1.15</f>
        <v>1494.9999999999998</v>
      </c>
      <c r="T71" s="7">
        <f>S71</f>
        <v>1494.9999999999998</v>
      </c>
      <c r="U71" s="7">
        <f>T71</f>
        <v>1494.9999999999998</v>
      </c>
      <c r="V71" s="7">
        <f>U71</f>
        <v>1494.9999999999998</v>
      </c>
      <c r="W71" s="5">
        <f>V71</f>
        <v>1494.9999999999998</v>
      </c>
      <c r="X71" s="5">
        <f>W71</f>
        <v>1494.9999999999998</v>
      </c>
      <c r="Y71" s="5">
        <f>X71</f>
        <v>1494.9999999999998</v>
      </c>
      <c r="Z71" s="5">
        <f>Y71</f>
        <v>1494.9999999999998</v>
      </c>
      <c r="AA71" s="5">
        <f>Z71</f>
        <v>1494.9999999999998</v>
      </c>
      <c r="AB71" s="5">
        <f>AA71</f>
        <v>1494.9999999999998</v>
      </c>
      <c r="AC71" s="32">
        <f>AB71</f>
        <v>1494.9999999999998</v>
      </c>
      <c r="AD71" s="31" t="s">
        <v>3</v>
      </c>
      <c r="AE71" s="31"/>
      <c r="AF71" s="31"/>
      <c r="AG71" s="31"/>
      <c r="AH71" s="31"/>
      <c r="AJ71" s="31"/>
      <c r="AK71" s="31"/>
      <c r="AM71" s="31"/>
      <c r="AN71" s="31"/>
      <c r="AO71" s="31"/>
      <c r="AQ71" s="31"/>
      <c r="AR71" s="31"/>
      <c r="BB71" s="2" t="s">
        <v>252</v>
      </c>
    </row>
    <row r="72" spans="1:54" ht="18.75" customHeight="1" x14ac:dyDescent="0.35">
      <c r="A72" s="2">
        <v>9111914587</v>
      </c>
      <c r="B72" s="2">
        <v>946</v>
      </c>
      <c r="D72" s="2" t="s">
        <v>113</v>
      </c>
      <c r="R72" s="6"/>
      <c r="T72" s="8">
        <v>396.75</v>
      </c>
      <c r="U72" s="8">
        <v>396.75</v>
      </c>
      <c r="V72" s="8">
        <v>396.75</v>
      </c>
      <c r="W72" s="8">
        <f>V72</f>
        <v>396.75</v>
      </c>
      <c r="X72" s="36">
        <f>W72</f>
        <v>396.75</v>
      </c>
      <c r="Y72" s="36">
        <f>X72</f>
        <v>396.75</v>
      </c>
      <c r="Z72" s="36">
        <f>Y72</f>
        <v>396.75</v>
      </c>
      <c r="AA72" s="36">
        <f>Z72</f>
        <v>396.75</v>
      </c>
      <c r="AB72" s="36">
        <f>AA72</f>
        <v>396.75</v>
      </c>
      <c r="AC72" s="36">
        <f>AB72</f>
        <v>396.75</v>
      </c>
      <c r="AD72" s="2" t="s">
        <v>3</v>
      </c>
      <c r="BB72" s="2" t="s">
        <v>293</v>
      </c>
    </row>
    <row r="73" spans="1:54" ht="18.75" customHeight="1" x14ac:dyDescent="0.35">
      <c r="A73" s="2">
        <v>9222695757</v>
      </c>
      <c r="D73" s="2" t="s">
        <v>91</v>
      </c>
      <c r="E73" s="2" t="s">
        <v>92</v>
      </c>
      <c r="F73" s="5">
        <f>3/31*600+28/31*800</f>
        <v>780.64516129032245</v>
      </c>
      <c r="G73" s="5">
        <v>800</v>
      </c>
      <c r="H73" s="5">
        <v>800</v>
      </c>
      <c r="I73" s="5">
        <v>800</v>
      </c>
      <c r="J73" s="5">
        <v>800</v>
      </c>
      <c r="K73" s="5">
        <v>800</v>
      </c>
      <c r="L73" s="5">
        <v>800</v>
      </c>
      <c r="M73" s="5">
        <v>800</v>
      </c>
      <c r="N73" s="5">
        <v>800</v>
      </c>
      <c r="O73" s="5">
        <v>800</v>
      </c>
      <c r="P73" s="5">
        <v>800</v>
      </c>
      <c r="Q73" s="5">
        <v>800</v>
      </c>
      <c r="R73" s="32">
        <v>800</v>
      </c>
      <c r="S73" s="5">
        <v>800</v>
      </c>
      <c r="T73" s="5">
        <f>S73</f>
        <v>800</v>
      </c>
      <c r="U73" s="5">
        <f>T73</f>
        <v>800</v>
      </c>
      <c r="V73" s="5">
        <f>U73</f>
        <v>800</v>
      </c>
      <c r="W73" s="5">
        <f>V73</f>
        <v>800</v>
      </c>
      <c r="X73" s="5">
        <f>W73</f>
        <v>800</v>
      </c>
      <c r="Y73" s="5">
        <f>X73</f>
        <v>800</v>
      </c>
      <c r="Z73" s="5">
        <f>Y73</f>
        <v>800</v>
      </c>
      <c r="AA73" s="5">
        <f>Z73</f>
        <v>800</v>
      </c>
      <c r="AB73" s="5">
        <f>AA73</f>
        <v>800</v>
      </c>
      <c r="AC73" s="32">
        <f>AB73</f>
        <v>800</v>
      </c>
      <c r="AD73" s="31" t="s">
        <v>3</v>
      </c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BB73" s="14" t="s">
        <v>252</v>
      </c>
    </row>
    <row r="74" spans="1:54" ht="18.75" customHeight="1" x14ac:dyDescent="0.35">
      <c r="A74" s="2">
        <v>6772450723</v>
      </c>
      <c r="B74" s="2">
        <v>416</v>
      </c>
      <c r="D74" s="1" t="s">
        <v>77</v>
      </c>
      <c r="E74" s="1"/>
      <c r="F74" s="5">
        <v>250</v>
      </c>
      <c r="G74" s="5">
        <v>250</v>
      </c>
      <c r="H74" s="5">
        <v>250</v>
      </c>
      <c r="I74" s="5">
        <v>250</v>
      </c>
      <c r="J74" s="5">
        <v>250</v>
      </c>
      <c r="K74" s="5">
        <v>250</v>
      </c>
      <c r="L74" s="5">
        <v>250</v>
      </c>
      <c r="M74" s="5">
        <v>250</v>
      </c>
      <c r="N74" s="5">
        <v>250</v>
      </c>
      <c r="O74" s="5">
        <v>250</v>
      </c>
      <c r="P74" s="5">
        <v>250</v>
      </c>
      <c r="Q74" s="5">
        <v>250</v>
      </c>
      <c r="R74" s="32">
        <v>250</v>
      </c>
      <c r="S74" s="31">
        <f>PRODUCT(R74*1.15)</f>
        <v>287.5</v>
      </c>
      <c r="T74" s="32">
        <f>S74</f>
        <v>287.5</v>
      </c>
      <c r="U74" s="5">
        <f>T74</f>
        <v>287.5</v>
      </c>
      <c r="V74" s="32">
        <f>U74</f>
        <v>287.5</v>
      </c>
      <c r="W74" s="32">
        <f>V74</f>
        <v>287.5</v>
      </c>
      <c r="X74" s="32">
        <f>W74</f>
        <v>287.5</v>
      </c>
      <c r="Y74" s="32">
        <f>X74</f>
        <v>287.5</v>
      </c>
      <c r="Z74" s="32">
        <f>Y74</f>
        <v>287.5</v>
      </c>
      <c r="AA74" s="32">
        <f>Z74</f>
        <v>287.5</v>
      </c>
      <c r="AB74" s="32">
        <f>AA74</f>
        <v>287.5</v>
      </c>
      <c r="AC74" s="31" t="s">
        <v>3</v>
      </c>
      <c r="AD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BB74" s="2" t="s">
        <v>251</v>
      </c>
    </row>
    <row r="75" spans="1:54" x14ac:dyDescent="0.35">
      <c r="A75" s="2">
        <v>6922315643</v>
      </c>
      <c r="D75" s="2" t="s">
        <v>128</v>
      </c>
      <c r="E75" s="2" t="s">
        <v>129</v>
      </c>
      <c r="R75" s="31"/>
      <c r="V75" s="5">
        <f>7/31*1149</f>
        <v>259.45161290322579</v>
      </c>
      <c r="W75" s="5">
        <v>1149</v>
      </c>
      <c r="X75" s="5">
        <v>1149</v>
      </c>
      <c r="Y75" s="5">
        <v>1149</v>
      </c>
      <c r="Z75" s="5">
        <v>1149</v>
      </c>
      <c r="AA75" s="10">
        <v>1149</v>
      </c>
      <c r="AB75" s="10">
        <v>1149</v>
      </c>
      <c r="AC75" s="31"/>
      <c r="AD75" s="31"/>
      <c r="AE75" s="31"/>
      <c r="AF75" s="31"/>
      <c r="AG75" s="31"/>
      <c r="AH75" s="31"/>
      <c r="BB75" s="2" t="s">
        <v>251</v>
      </c>
    </row>
    <row r="76" spans="1:54" ht="15.75" customHeight="1" x14ac:dyDescent="0.35">
      <c r="A76" s="2">
        <v>8581700110</v>
      </c>
      <c r="B76" s="2">
        <v>944</v>
      </c>
      <c r="D76" s="2" t="s">
        <v>75</v>
      </c>
      <c r="R76" s="31"/>
      <c r="S76" s="31"/>
      <c r="U76" s="5">
        <v>906.5</v>
      </c>
      <c r="V76" s="5">
        <f>U76</f>
        <v>906.5</v>
      </c>
      <c r="W76" s="5">
        <f>V76</f>
        <v>906.5</v>
      </c>
      <c r="X76" s="5">
        <f>W76</f>
        <v>906.5</v>
      </c>
      <c r="Y76" s="5">
        <f>X76</f>
        <v>906.5</v>
      </c>
      <c r="Z76" s="5">
        <f>Y76</f>
        <v>906.5</v>
      </c>
      <c r="AA76" s="5">
        <f>Z76</f>
        <v>906.5</v>
      </c>
      <c r="AB76" s="5">
        <f>AA76</f>
        <v>906.5</v>
      </c>
      <c r="AC76" s="31" t="s">
        <v>3</v>
      </c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BB76" s="2" t="s">
        <v>251</v>
      </c>
    </row>
    <row r="77" spans="1:54" ht="18.75" customHeight="1" x14ac:dyDescent="0.35">
      <c r="A77" s="2">
        <v>9522076099</v>
      </c>
      <c r="D77" s="2" t="s">
        <v>78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T77" s="5"/>
      <c r="U77" s="5">
        <v>295</v>
      </c>
      <c r="V77" s="5">
        <f>U77</f>
        <v>295</v>
      </c>
      <c r="W77" s="5">
        <f>V77</f>
        <v>295</v>
      </c>
      <c r="X77" s="5">
        <f>W77</f>
        <v>295</v>
      </c>
      <c r="Y77" s="5">
        <f>X77</f>
        <v>295</v>
      </c>
      <c r="Z77" s="5">
        <f>Y77</f>
        <v>295</v>
      </c>
      <c r="AA77" s="5">
        <f>Z77</f>
        <v>295</v>
      </c>
      <c r="AB77" s="5">
        <f>AA77</f>
        <v>295</v>
      </c>
      <c r="AC77" s="31" t="s">
        <v>3</v>
      </c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BB77" s="14" t="s">
        <v>251</v>
      </c>
    </row>
    <row r="78" spans="1:54" ht="18.75" customHeight="1" x14ac:dyDescent="0.35">
      <c r="A78" s="2">
        <v>5213782466</v>
      </c>
      <c r="D78" s="2" t="s">
        <v>72</v>
      </c>
      <c r="F78" s="5">
        <v>1910</v>
      </c>
      <c r="G78" s="5">
        <v>1910</v>
      </c>
      <c r="H78" s="5">
        <v>1910</v>
      </c>
      <c r="I78" s="5">
        <v>1910</v>
      </c>
      <c r="J78" s="5">
        <v>1910</v>
      </c>
      <c r="K78" s="5">
        <v>1910</v>
      </c>
      <c r="L78" s="5">
        <v>1910</v>
      </c>
      <c r="M78" s="5">
        <v>1910</v>
      </c>
      <c r="N78" s="5">
        <v>1910</v>
      </c>
      <c r="O78" s="5">
        <v>1910</v>
      </c>
      <c r="P78" s="5">
        <v>1910</v>
      </c>
      <c r="Q78" s="5">
        <v>1910</v>
      </c>
      <c r="R78" s="32">
        <f>Q78*1.15</f>
        <v>2196.5</v>
      </c>
      <c r="S78" s="5">
        <f>R78</f>
        <v>2196.5</v>
      </c>
      <c r="T78" s="5">
        <f>S78</f>
        <v>2196.5</v>
      </c>
      <c r="U78" s="5">
        <f>T78</f>
        <v>2196.5</v>
      </c>
      <c r="V78" s="5">
        <f>U78</f>
        <v>2196.5</v>
      </c>
      <c r="W78" s="5">
        <f>V78</f>
        <v>2196.5</v>
      </c>
      <c r="X78" s="32">
        <f>W78</f>
        <v>2196.5</v>
      </c>
      <c r="Y78" s="32">
        <f>X78</f>
        <v>2196.5</v>
      </c>
      <c r="Z78" s="32">
        <f>Y78</f>
        <v>2196.5</v>
      </c>
      <c r="AA78" s="32">
        <f>Z78</f>
        <v>2196.5</v>
      </c>
      <c r="AB78" s="31" t="s">
        <v>3</v>
      </c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BB78" s="2" t="s">
        <v>250</v>
      </c>
    </row>
    <row r="79" spans="1:54" x14ac:dyDescent="0.35">
      <c r="A79" s="2">
        <v>6751504715</v>
      </c>
      <c r="D79" s="2" t="s">
        <v>74</v>
      </c>
      <c r="F79" s="5">
        <v>1450</v>
      </c>
      <c r="G79" s="5">
        <v>1450</v>
      </c>
      <c r="H79" s="5">
        <v>1450</v>
      </c>
      <c r="I79" s="5">
        <v>1450</v>
      </c>
      <c r="J79" s="5">
        <v>1450</v>
      </c>
      <c r="K79" s="5">
        <v>1450</v>
      </c>
      <c r="L79" s="5">
        <v>1450</v>
      </c>
      <c r="M79" s="5">
        <v>1450</v>
      </c>
      <c r="N79" s="5">
        <v>1450</v>
      </c>
      <c r="O79" s="5">
        <v>1450</v>
      </c>
      <c r="P79" s="5">
        <v>1450</v>
      </c>
      <c r="Q79" s="5">
        <v>1450</v>
      </c>
      <c r="R79" s="32">
        <v>1450</v>
      </c>
      <c r="S79" s="2">
        <f>PRODUCT(R79*1.15)</f>
        <v>1667.4999999999998</v>
      </c>
      <c r="T79" s="5">
        <f>S79</f>
        <v>1667.4999999999998</v>
      </c>
      <c r="U79" s="5">
        <f>T79</f>
        <v>1667.4999999999998</v>
      </c>
      <c r="V79" s="5">
        <f>U79</f>
        <v>1667.4999999999998</v>
      </c>
      <c r="W79" s="5">
        <f>V79</f>
        <v>1667.4999999999998</v>
      </c>
      <c r="X79" s="5">
        <f>W79</f>
        <v>1667.4999999999998</v>
      </c>
      <c r="Y79" s="5">
        <f>X79</f>
        <v>1667.4999999999998</v>
      </c>
      <c r="Z79" s="5">
        <f>Y79</f>
        <v>1667.4999999999998</v>
      </c>
      <c r="AA79" s="5">
        <f>Z79</f>
        <v>1667.4999999999998</v>
      </c>
      <c r="AB79" s="2" t="s">
        <v>3</v>
      </c>
      <c r="AC79" s="31"/>
      <c r="AD79" s="31"/>
      <c r="AE79" s="31"/>
      <c r="AF79" s="31"/>
      <c r="AG79" s="31"/>
      <c r="AH79" s="31"/>
      <c r="AI79" s="31"/>
      <c r="BB79" s="2" t="s">
        <v>250</v>
      </c>
    </row>
    <row r="80" spans="1:54" x14ac:dyDescent="0.35">
      <c r="A80" s="2">
        <v>9452222181</v>
      </c>
      <c r="D80" s="2" t="s">
        <v>73</v>
      </c>
      <c r="F80" s="5">
        <v>625</v>
      </c>
      <c r="G80" s="5">
        <v>625</v>
      </c>
      <c r="H80" s="5">
        <f>625/2</f>
        <v>312.5</v>
      </c>
      <c r="I80" s="5">
        <v>625</v>
      </c>
      <c r="J80" s="5">
        <f>625/2</f>
        <v>312.5</v>
      </c>
      <c r="K80" s="5">
        <v>625</v>
      </c>
      <c r="L80" s="5">
        <v>625</v>
      </c>
      <c r="M80" s="5">
        <v>625</v>
      </c>
      <c r="N80" s="5">
        <v>625</v>
      </c>
      <c r="O80" s="5">
        <v>625</v>
      </c>
      <c r="P80" s="5">
        <v>625</v>
      </c>
      <c r="Q80" s="5">
        <v>625</v>
      </c>
      <c r="R80" s="32">
        <v>625</v>
      </c>
      <c r="S80" s="2">
        <f>PRODUCT(R80*1.15)</f>
        <v>718.75</v>
      </c>
      <c r="T80" s="5">
        <f>S80</f>
        <v>718.75</v>
      </c>
      <c r="U80" s="5">
        <f>T80</f>
        <v>718.75</v>
      </c>
      <c r="V80" s="5">
        <f>U80</f>
        <v>718.75</v>
      </c>
      <c r="W80" s="5">
        <f>V80</f>
        <v>718.75</v>
      </c>
      <c r="X80" s="5">
        <f>W80</f>
        <v>718.75</v>
      </c>
      <c r="Y80" s="5">
        <f>X80</f>
        <v>718.75</v>
      </c>
      <c r="Z80" s="5">
        <f>Y80</f>
        <v>718.75</v>
      </c>
      <c r="AA80" s="5">
        <f>Z80</f>
        <v>718.75</v>
      </c>
      <c r="AB80" s="2" t="s">
        <v>3</v>
      </c>
      <c r="AC80" s="31"/>
      <c r="AD80" s="31"/>
      <c r="BB80" s="14" t="s">
        <v>250</v>
      </c>
    </row>
    <row r="81" spans="1:54" ht="18.75" customHeight="1" x14ac:dyDescent="0.35">
      <c r="A81" s="2">
        <v>5472200973</v>
      </c>
      <c r="D81" s="2" t="s">
        <v>69</v>
      </c>
      <c r="F81" s="5">
        <v>650.41</v>
      </c>
      <c r="G81" s="5">
        <v>650.41</v>
      </c>
      <c r="H81" s="5">
        <v>650.41</v>
      </c>
      <c r="I81" s="5">
        <v>650.41</v>
      </c>
      <c r="J81" s="5">
        <v>650.41</v>
      </c>
      <c r="K81" s="5">
        <v>650.41</v>
      </c>
      <c r="L81" s="5">
        <v>650.41</v>
      </c>
      <c r="M81" s="5">
        <v>650.41</v>
      </c>
      <c r="N81" s="5">
        <v>650.41</v>
      </c>
      <c r="O81" s="5">
        <v>650.41</v>
      </c>
      <c r="P81" s="5">
        <v>650.41</v>
      </c>
      <c r="Q81" s="5">
        <v>650.41</v>
      </c>
      <c r="R81" s="7">
        <v>650.41</v>
      </c>
      <c r="S81" s="5">
        <v>650.41</v>
      </c>
      <c r="T81" s="5">
        <f>S81</f>
        <v>650.41</v>
      </c>
      <c r="U81" s="5">
        <f>T81</f>
        <v>650.41</v>
      </c>
      <c r="V81" s="5">
        <f>U81</f>
        <v>650.41</v>
      </c>
      <c r="W81" s="5">
        <f>V81</f>
        <v>650.41</v>
      </c>
      <c r="X81" s="7">
        <f>W81</f>
        <v>650.41</v>
      </c>
      <c r="Y81" s="7">
        <f>X81</f>
        <v>650.41</v>
      </c>
      <c r="Z81" s="7">
        <f>Y81</f>
        <v>650.41</v>
      </c>
      <c r="AA81" s="6" t="s">
        <v>3</v>
      </c>
      <c r="AB81" s="6"/>
      <c r="AC81" s="6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BB81" s="2" t="s">
        <v>249</v>
      </c>
    </row>
    <row r="82" spans="1:54" ht="18.75" customHeight="1" x14ac:dyDescent="0.35">
      <c r="A82" s="2">
        <v>7181974501</v>
      </c>
      <c r="D82" s="2" t="s">
        <v>71</v>
      </c>
      <c r="F82" s="5">
        <v>47</v>
      </c>
      <c r="G82" s="5">
        <v>47</v>
      </c>
      <c r="H82" s="5">
        <v>47</v>
      </c>
      <c r="I82" s="5">
        <v>47</v>
      </c>
      <c r="J82" s="5">
        <v>47</v>
      </c>
      <c r="K82" s="5">
        <v>47</v>
      </c>
      <c r="L82" s="5">
        <v>47</v>
      </c>
      <c r="M82" s="5">
        <v>47</v>
      </c>
      <c r="N82" s="5">
        <v>47</v>
      </c>
      <c r="O82" s="5">
        <v>47</v>
      </c>
      <c r="P82" s="5">
        <v>47</v>
      </c>
      <c r="Q82" s="5">
        <v>47</v>
      </c>
      <c r="R82" s="31"/>
      <c r="S82" s="31"/>
      <c r="T82" s="31"/>
      <c r="U82" s="31"/>
      <c r="V82" s="31"/>
      <c r="W82" s="5">
        <v>540.5</v>
      </c>
      <c r="X82" s="32">
        <v>540.5</v>
      </c>
      <c r="Y82" s="32">
        <v>540.5</v>
      </c>
      <c r="Z82" s="32">
        <v>540.5</v>
      </c>
      <c r="AA82" s="31" t="s">
        <v>3</v>
      </c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BB82" s="2" t="s">
        <v>249</v>
      </c>
    </row>
    <row r="83" spans="1:54" ht="19.399999999999999" customHeight="1" x14ac:dyDescent="0.35">
      <c r="A83" s="2">
        <v>7282799695</v>
      </c>
      <c r="D83" s="2" t="s">
        <v>70</v>
      </c>
      <c r="F83" s="5">
        <v>1004.4</v>
      </c>
      <c r="G83" s="5">
        <v>1004.4</v>
      </c>
      <c r="H83" s="5">
        <v>1004.4</v>
      </c>
      <c r="I83" s="5">
        <v>1004.4</v>
      </c>
      <c r="J83" s="5">
        <v>1004.4</v>
      </c>
      <c r="K83" s="5">
        <v>1004.4</v>
      </c>
      <c r="L83" s="5">
        <v>1004.4</v>
      </c>
      <c r="M83" s="5">
        <v>1004.4</v>
      </c>
      <c r="N83" s="5">
        <v>1004.4</v>
      </c>
      <c r="O83" s="5">
        <v>1004.4</v>
      </c>
      <c r="P83" s="5">
        <v>1004.4</v>
      </c>
      <c r="Q83" s="5">
        <v>1004.4</v>
      </c>
      <c r="R83" s="32">
        <v>1004.4</v>
      </c>
      <c r="S83" s="2">
        <f>PRODUCT(R83*1.15)</f>
        <v>1155.06</v>
      </c>
      <c r="T83" s="5">
        <f>S83</f>
        <v>1155.06</v>
      </c>
      <c r="U83" s="5">
        <f>T83</f>
        <v>1155.06</v>
      </c>
      <c r="V83" s="5">
        <f>U83</f>
        <v>1155.06</v>
      </c>
      <c r="W83" s="5">
        <f>V83</f>
        <v>1155.06</v>
      </c>
      <c r="X83" s="5">
        <f>W83</f>
        <v>1155.06</v>
      </c>
      <c r="Y83" s="5">
        <f>X83</f>
        <v>1155.06</v>
      </c>
      <c r="Z83" s="5">
        <f>Y83</f>
        <v>1155.06</v>
      </c>
      <c r="AA83" s="2" t="s">
        <v>3</v>
      </c>
      <c r="AC83" s="6"/>
      <c r="AD83" s="6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BB83" s="2" t="s">
        <v>249</v>
      </c>
    </row>
    <row r="84" spans="1:54" ht="18.75" customHeight="1" x14ac:dyDescent="0.35">
      <c r="A84" s="2">
        <v>7831848096</v>
      </c>
      <c r="D84" s="2" t="s">
        <v>63</v>
      </c>
      <c r="R84" s="31"/>
      <c r="U84" s="5">
        <v>1296</v>
      </c>
      <c r="V84" s="5">
        <f>U84</f>
        <v>1296</v>
      </c>
      <c r="W84" s="5">
        <f>V84</f>
        <v>1296</v>
      </c>
      <c r="X84" s="5">
        <f>W84</f>
        <v>1296</v>
      </c>
      <c r="Y84" s="5">
        <f>X84</f>
        <v>1296</v>
      </c>
      <c r="Z84" s="5">
        <f>Y84</f>
        <v>1296</v>
      </c>
      <c r="AA84" s="2" t="s">
        <v>3</v>
      </c>
      <c r="AC84" s="6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BB84" s="2" t="s">
        <v>249</v>
      </c>
    </row>
    <row r="85" spans="1:54" ht="15.75" customHeight="1" x14ac:dyDescent="0.35">
      <c r="A85" s="2">
        <v>9562304388</v>
      </c>
      <c r="D85" s="2" t="s">
        <v>62</v>
      </c>
      <c r="R85" s="31"/>
      <c r="S85" s="31"/>
      <c r="U85" s="5">
        <f>10/30*1353.75</f>
        <v>451.25</v>
      </c>
      <c r="V85" s="5">
        <f>5415/4</f>
        <v>1353.75</v>
      </c>
      <c r="W85" s="5">
        <f>5415/4</f>
        <v>1353.75</v>
      </c>
      <c r="X85" s="5">
        <f>5415/4</f>
        <v>1353.75</v>
      </c>
      <c r="Y85" s="5">
        <f>5415/4</f>
        <v>1353.75</v>
      </c>
      <c r="Z85" s="5">
        <f>5415/4</f>
        <v>1353.75</v>
      </c>
      <c r="AA85" s="2" t="s">
        <v>3</v>
      </c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BB85" s="14" t="s">
        <v>249</v>
      </c>
    </row>
    <row r="86" spans="1:54" ht="15.75" customHeight="1" x14ac:dyDescent="0.35">
      <c r="A86" s="2">
        <v>9562304388</v>
      </c>
      <c r="D86" s="2" t="s">
        <v>62</v>
      </c>
      <c r="R86" s="31"/>
      <c r="U86" s="5">
        <f>10/30*1353.75</f>
        <v>451.25</v>
      </c>
      <c r="V86" s="5">
        <f>5415/4</f>
        <v>1353.75</v>
      </c>
      <c r="W86" s="5">
        <f>5415/4</f>
        <v>1353.75</v>
      </c>
      <c r="X86" s="5">
        <f>5415/4</f>
        <v>1353.75</v>
      </c>
      <c r="Y86" s="5">
        <f>5415/4</f>
        <v>1353.75</v>
      </c>
      <c r="Z86" s="5">
        <f>5415/4</f>
        <v>1353.75</v>
      </c>
      <c r="AA86" s="2" t="s">
        <v>3</v>
      </c>
      <c r="AC86" s="6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BB86" s="14" t="s">
        <v>249</v>
      </c>
    </row>
    <row r="87" spans="1:54" ht="15.75" customHeight="1" x14ac:dyDescent="0.35">
      <c r="A87" s="2">
        <v>9562304388</v>
      </c>
      <c r="D87" s="2" t="s">
        <v>62</v>
      </c>
      <c r="R87" s="31"/>
      <c r="U87" s="5">
        <f>10/30*1353.75</f>
        <v>451.25</v>
      </c>
      <c r="V87" s="5">
        <f>5415/4</f>
        <v>1353.75</v>
      </c>
      <c r="W87" s="5">
        <f>5415/4</f>
        <v>1353.75</v>
      </c>
      <c r="X87" s="5">
        <f>5415/4</f>
        <v>1353.75</v>
      </c>
      <c r="Y87" s="5">
        <f>5415/4</f>
        <v>1353.75</v>
      </c>
      <c r="Z87" s="5">
        <f>5415/4</f>
        <v>1353.75</v>
      </c>
      <c r="AA87" s="2" t="s">
        <v>3</v>
      </c>
      <c r="AC87" s="6"/>
      <c r="AD87" s="6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BB87" s="14" t="s">
        <v>249</v>
      </c>
    </row>
    <row r="88" spans="1:54" ht="15.75" customHeight="1" x14ac:dyDescent="0.35">
      <c r="A88" s="2">
        <v>9562304388</v>
      </c>
      <c r="D88" s="2" t="s">
        <v>62</v>
      </c>
      <c r="R88" s="31"/>
      <c r="U88" s="5">
        <f>10/30*1353.75</f>
        <v>451.25</v>
      </c>
      <c r="V88" s="5">
        <f>5415/4</f>
        <v>1353.75</v>
      </c>
      <c r="W88" s="5">
        <f>5415/4</f>
        <v>1353.75</v>
      </c>
      <c r="X88" s="5">
        <f>5415/4</f>
        <v>1353.75</v>
      </c>
      <c r="Y88" s="5">
        <f>5415/4</f>
        <v>1353.75</v>
      </c>
      <c r="Z88" s="5">
        <f>5415/4</f>
        <v>1353.75</v>
      </c>
      <c r="AA88" s="2" t="s">
        <v>3</v>
      </c>
      <c r="AC88" s="6"/>
      <c r="AD88" s="6"/>
      <c r="AE88" s="6"/>
      <c r="AF88" s="31"/>
      <c r="AG88" s="31"/>
      <c r="AH88" s="31"/>
      <c r="AI88" s="31"/>
      <c r="AJ88" s="31"/>
      <c r="AK88" s="31"/>
      <c r="AL88" s="31"/>
      <c r="AM88" s="31"/>
      <c r="BB88" s="14" t="s">
        <v>249</v>
      </c>
    </row>
    <row r="89" spans="1:54" ht="18.75" customHeight="1" x14ac:dyDescent="0.35">
      <c r="A89" s="2">
        <v>9592055978</v>
      </c>
      <c r="D89" s="2" t="s">
        <v>66</v>
      </c>
      <c r="F89" s="5">
        <f>27/31*600</f>
        <v>522.58064516129036</v>
      </c>
      <c r="G89" s="5">
        <v>600</v>
      </c>
      <c r="H89" s="5">
        <v>600</v>
      </c>
      <c r="I89" s="5">
        <v>600</v>
      </c>
      <c r="J89" s="5">
        <v>600</v>
      </c>
      <c r="K89" s="5">
        <v>600</v>
      </c>
      <c r="L89" s="5">
        <f>27/31*908+4/31*600</f>
        <v>868.25806451612902</v>
      </c>
      <c r="M89" s="5">
        <v>908</v>
      </c>
      <c r="N89" s="5">
        <v>908</v>
      </c>
      <c r="O89" s="5">
        <v>908</v>
      </c>
      <c r="P89" s="5">
        <v>908</v>
      </c>
      <c r="Q89" s="5">
        <v>908</v>
      </c>
      <c r="R89" s="32">
        <v>908</v>
      </c>
      <c r="S89" s="32">
        <f>R89*1.15</f>
        <v>1044.1999999999998</v>
      </c>
      <c r="T89" s="7">
        <f>S89</f>
        <v>1044.1999999999998</v>
      </c>
      <c r="U89" s="7">
        <f>T89</f>
        <v>1044.1999999999998</v>
      </c>
      <c r="V89" s="7">
        <f>U89</f>
        <v>1044.1999999999998</v>
      </c>
      <c r="W89" s="7">
        <f>V89</f>
        <v>1044.1999999999998</v>
      </c>
      <c r="X89" s="7">
        <f>W89</f>
        <v>1044.1999999999998</v>
      </c>
      <c r="Y89" s="7">
        <f>X89</f>
        <v>1044.1999999999998</v>
      </c>
      <c r="Z89" s="7">
        <f>Y89</f>
        <v>1044.1999999999998</v>
      </c>
      <c r="AA89" s="7" t="s">
        <v>3</v>
      </c>
      <c r="AB89" s="6"/>
      <c r="AC89" s="6"/>
      <c r="AD89" s="6"/>
      <c r="AE89" s="6"/>
      <c r="AF89" s="6"/>
      <c r="BB89" s="14" t="s">
        <v>249</v>
      </c>
    </row>
    <row r="90" spans="1:54" ht="18.75" customHeight="1" x14ac:dyDescent="0.35">
      <c r="A90" s="2">
        <v>6312382167</v>
      </c>
      <c r="D90" s="2" t="s">
        <v>68</v>
      </c>
      <c r="F90" s="5">
        <v>813</v>
      </c>
      <c r="G90" s="5">
        <v>813</v>
      </c>
      <c r="H90" s="5">
        <v>813</v>
      </c>
      <c r="I90" s="5">
        <v>813</v>
      </c>
      <c r="J90" s="5">
        <v>813</v>
      </c>
      <c r="K90" s="5">
        <v>1000</v>
      </c>
      <c r="L90" s="5">
        <v>1000</v>
      </c>
      <c r="M90" s="5">
        <v>1000</v>
      </c>
      <c r="N90" s="5">
        <v>1000</v>
      </c>
      <c r="O90" s="5">
        <v>1000</v>
      </c>
      <c r="P90" s="5">
        <v>1000</v>
      </c>
      <c r="Q90" s="5">
        <v>1000</v>
      </c>
      <c r="R90" s="32">
        <v>1000</v>
      </c>
      <c r="S90" s="5">
        <f>R90*1.15</f>
        <v>1150</v>
      </c>
      <c r="T90" s="5">
        <f>S90</f>
        <v>1150</v>
      </c>
      <c r="U90" s="5">
        <f>T90</f>
        <v>1150</v>
      </c>
      <c r="V90" s="5">
        <f>U90</f>
        <v>1150</v>
      </c>
      <c r="W90" s="5">
        <f>V90</f>
        <v>1150</v>
      </c>
      <c r="X90" s="5">
        <f>W90</f>
        <v>1150</v>
      </c>
      <c r="Y90" s="5">
        <f>X90</f>
        <v>1150</v>
      </c>
      <c r="Z90" s="5" t="s">
        <v>3</v>
      </c>
      <c r="AA90" s="5"/>
      <c r="AC90" s="6"/>
      <c r="AD90" s="31"/>
      <c r="AE90" s="6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BB90" s="2" t="s">
        <v>248</v>
      </c>
    </row>
    <row r="91" spans="1:54" ht="30.65" customHeight="1" x14ac:dyDescent="0.35">
      <c r="A91" s="2">
        <v>6831994093</v>
      </c>
      <c r="D91" s="2" t="s">
        <v>76</v>
      </c>
      <c r="F91" s="5">
        <f>1067*0.8</f>
        <v>853.6</v>
      </c>
      <c r="G91" s="5">
        <v>1067</v>
      </c>
      <c r="H91" s="5">
        <v>1067</v>
      </c>
      <c r="I91" s="5">
        <v>1067</v>
      </c>
      <c r="J91" s="5">
        <v>1067</v>
      </c>
      <c r="K91" s="5">
        <v>1067</v>
      </c>
      <c r="L91" s="5">
        <v>1067</v>
      </c>
      <c r="M91" s="5">
        <v>1067</v>
      </c>
      <c r="N91" s="5">
        <v>1067</v>
      </c>
      <c r="O91" s="5">
        <v>1067</v>
      </c>
      <c r="P91" s="5">
        <v>1067</v>
      </c>
      <c r="Q91" s="5">
        <v>1067</v>
      </c>
      <c r="R91" s="32">
        <v>1067</v>
      </c>
      <c r="S91" s="5">
        <v>1067</v>
      </c>
      <c r="T91" s="5">
        <v>1067</v>
      </c>
      <c r="U91" s="5">
        <f>T91</f>
        <v>1067</v>
      </c>
      <c r="V91" s="5">
        <f>U91</f>
        <v>1067</v>
      </c>
      <c r="W91" s="5">
        <f>V91</f>
        <v>1067</v>
      </c>
      <c r="X91" s="5">
        <f>W91</f>
        <v>1067</v>
      </c>
      <c r="Y91" s="5">
        <f>X91</f>
        <v>1067</v>
      </c>
      <c r="Z91" s="5" t="s">
        <v>3</v>
      </c>
      <c r="AA91" s="5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BB91" s="2" t="s">
        <v>248</v>
      </c>
    </row>
    <row r="92" spans="1:54" x14ac:dyDescent="0.35">
      <c r="A92" s="2">
        <v>9451974588</v>
      </c>
      <c r="D92" s="2" t="s">
        <v>64</v>
      </c>
      <c r="N92" s="5"/>
      <c r="O92" s="5">
        <f>26/31*449</f>
        <v>376.58064516129036</v>
      </c>
      <c r="P92" s="5">
        <v>449</v>
      </c>
      <c r="Q92" s="5">
        <v>449</v>
      </c>
      <c r="R92" s="7">
        <f>26/31*549+5/31*449</f>
        <v>532.87096774193549</v>
      </c>
      <c r="S92" s="5">
        <f>549*1.15</f>
        <v>631.34999999999991</v>
      </c>
      <c r="T92" s="5">
        <f>S92*0.8</f>
        <v>505.07999999999993</v>
      </c>
      <c r="U92" s="5">
        <v>631.35</v>
      </c>
      <c r="V92" s="5">
        <f>U92</f>
        <v>631.35</v>
      </c>
      <c r="W92" s="5">
        <f>V92</f>
        <v>631.35</v>
      </c>
      <c r="X92" s="5">
        <f>W92</f>
        <v>631.35</v>
      </c>
      <c r="Y92" s="5">
        <f>X92</f>
        <v>631.35</v>
      </c>
      <c r="Z92" s="2" t="s">
        <v>3</v>
      </c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BB92" s="14" t="s">
        <v>248</v>
      </c>
    </row>
    <row r="93" spans="1:54" x14ac:dyDescent="0.35">
      <c r="A93" s="31">
        <v>9541509300</v>
      </c>
      <c r="B93" s="31"/>
      <c r="C93" s="31"/>
      <c r="D93" s="47" t="s">
        <v>65</v>
      </c>
      <c r="E93" s="47"/>
      <c r="F93" s="31"/>
      <c r="G93" s="31"/>
      <c r="H93" s="31"/>
      <c r="I93" s="32">
        <f>17/30*965</f>
        <v>546.83333333333337</v>
      </c>
      <c r="J93" s="32">
        <v>965</v>
      </c>
      <c r="K93" s="32">
        <v>965</v>
      </c>
      <c r="L93" s="32">
        <v>965</v>
      </c>
      <c r="M93" s="32">
        <v>965</v>
      </c>
      <c r="N93" s="32">
        <v>965</v>
      </c>
      <c r="O93" s="32">
        <v>965</v>
      </c>
      <c r="P93" s="32">
        <v>965</v>
      </c>
      <c r="Q93" s="32">
        <v>965</v>
      </c>
      <c r="R93" s="32">
        <v>965</v>
      </c>
      <c r="S93" s="31">
        <f>PRODUCT(R93*1.15)</f>
        <v>1109.75</v>
      </c>
      <c r="T93" s="32">
        <f>S93</f>
        <v>1109.75</v>
      </c>
      <c r="U93" s="32">
        <f>T93</f>
        <v>1109.75</v>
      </c>
      <c r="V93" s="32">
        <f>U93</f>
        <v>1109.75</v>
      </c>
      <c r="W93" s="32">
        <f>V93</f>
        <v>1109.75</v>
      </c>
      <c r="X93" s="32">
        <f>W93</f>
        <v>1109.75</v>
      </c>
      <c r="Y93" s="32">
        <f>X93</f>
        <v>1109.75</v>
      </c>
      <c r="Z93" s="32" t="s">
        <v>3</v>
      </c>
      <c r="AA93" s="31"/>
      <c r="AB93" s="31"/>
      <c r="AC93" s="6"/>
      <c r="AD93" s="6"/>
      <c r="AE93" s="6"/>
      <c r="AF93" s="6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26" t="s">
        <v>248</v>
      </c>
    </row>
    <row r="94" spans="1:54" x14ac:dyDescent="0.35">
      <c r="A94" s="2">
        <v>8291579611</v>
      </c>
      <c r="D94" s="2" t="s">
        <v>67</v>
      </c>
      <c r="F94" s="5">
        <v>1300</v>
      </c>
      <c r="G94" s="5">
        <v>1300</v>
      </c>
      <c r="H94" s="5">
        <v>1300</v>
      </c>
      <c r="I94" s="5">
        <v>1300</v>
      </c>
      <c r="J94" s="5">
        <v>1300</v>
      </c>
      <c r="K94" s="5">
        <v>1300</v>
      </c>
      <c r="L94" s="5">
        <v>1300</v>
      </c>
      <c r="M94" s="5">
        <v>1300</v>
      </c>
      <c r="N94" s="5">
        <v>1300</v>
      </c>
      <c r="O94" s="5">
        <v>1300</v>
      </c>
      <c r="P94" s="5">
        <v>1300</v>
      </c>
      <c r="Q94" s="5">
        <v>1300</v>
      </c>
      <c r="R94" s="32">
        <v>1300</v>
      </c>
      <c r="S94" s="5">
        <f>R94</f>
        <v>1300</v>
      </c>
      <c r="T94" s="5">
        <f>S94</f>
        <v>1300</v>
      </c>
      <c r="U94" s="5">
        <f>T94</f>
        <v>1300</v>
      </c>
      <c r="V94" s="5">
        <f>U94</f>
        <v>1300</v>
      </c>
      <c r="W94" s="5">
        <f>V94</f>
        <v>1300</v>
      </c>
      <c r="X94" s="5">
        <f>W94</f>
        <v>1300</v>
      </c>
      <c r="Y94" s="5" t="s">
        <v>3</v>
      </c>
      <c r="AC94" s="6"/>
      <c r="AD94" s="6"/>
      <c r="AE94" s="6"/>
      <c r="AF94" s="6"/>
      <c r="BB94" s="2" t="s">
        <v>247</v>
      </c>
    </row>
    <row r="95" spans="1:54" x14ac:dyDescent="0.35">
      <c r="A95" s="2">
        <v>9571075450</v>
      </c>
      <c r="B95" s="2">
        <v>925</v>
      </c>
      <c r="D95" s="2" t="s">
        <v>80</v>
      </c>
      <c r="G95" s="2" t="s">
        <v>81</v>
      </c>
      <c r="R95" s="6"/>
      <c r="S95" s="32">
        <v>1014.3</v>
      </c>
      <c r="T95" s="5">
        <v>1014.3</v>
      </c>
      <c r="U95" s="5">
        <f>T95</f>
        <v>1014.3</v>
      </c>
      <c r="V95" s="5">
        <f>U95</f>
        <v>1014.3</v>
      </c>
      <c r="W95" s="5">
        <f>V95</f>
        <v>1014.3</v>
      </c>
      <c r="X95" s="5">
        <f>W95</f>
        <v>1014.3</v>
      </c>
      <c r="Y95" s="2" t="s">
        <v>3</v>
      </c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BB95" s="14" t="s">
        <v>247</v>
      </c>
    </row>
    <row r="96" spans="1:54" x14ac:dyDescent="0.35">
      <c r="A96" s="2">
        <v>9571075450</v>
      </c>
      <c r="D96" s="2" t="s">
        <v>79</v>
      </c>
      <c r="F96" s="5">
        <v>1626.02</v>
      </c>
      <c r="G96" s="5">
        <v>1626.02</v>
      </c>
      <c r="H96" s="5">
        <v>1626.02</v>
      </c>
      <c r="I96" s="5">
        <v>1626.02</v>
      </c>
      <c r="J96" s="5">
        <f>1626.02+6/31*159</f>
        <v>1656.7941935483871</v>
      </c>
      <c r="K96" s="5">
        <f>1626.02+159</f>
        <v>1785.02</v>
      </c>
      <c r="L96" s="5">
        <f>1626.02+159</f>
        <v>1785.02</v>
      </c>
      <c r="M96" s="5">
        <f>1626.02+159</f>
        <v>1785.02</v>
      </c>
      <c r="N96" s="5">
        <f>1626.02+159</f>
        <v>1785.02</v>
      </c>
      <c r="O96" s="5">
        <f>1626.02+159</f>
        <v>1785.02</v>
      </c>
      <c r="P96" s="5">
        <f>1626.02+159</f>
        <v>1785.02</v>
      </c>
      <c r="Q96" s="5">
        <f>1626.02+159</f>
        <v>1785.02</v>
      </c>
      <c r="R96" s="32">
        <f>1626.02+159</f>
        <v>1785.02</v>
      </c>
      <c r="S96" s="5">
        <f>1626.02+159</f>
        <v>1785.02</v>
      </c>
      <c r="T96" s="5">
        <f>1626.02+159</f>
        <v>1785.02</v>
      </c>
      <c r="U96" s="5">
        <f>T96</f>
        <v>1785.02</v>
      </c>
      <c r="V96" s="5">
        <f>U96</f>
        <v>1785.02</v>
      </c>
      <c r="W96" s="5">
        <f>V96</f>
        <v>1785.02</v>
      </c>
      <c r="X96" s="5">
        <f>W96</f>
        <v>1785.02</v>
      </c>
      <c r="Y96" s="2" t="s">
        <v>3</v>
      </c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BB96" s="14" t="s">
        <v>247</v>
      </c>
    </row>
    <row r="97" spans="1:54" x14ac:dyDescent="0.35">
      <c r="A97" s="2">
        <v>5361922350</v>
      </c>
      <c r="B97" s="2">
        <v>335</v>
      </c>
      <c r="D97" s="2" t="s">
        <v>82</v>
      </c>
      <c r="F97" s="5"/>
      <c r="G97" s="5">
        <f>1015+349</f>
        <v>1364</v>
      </c>
      <c r="H97" s="5">
        <f>1015+349</f>
        <v>1364</v>
      </c>
      <c r="I97" s="5">
        <f>1015+349</f>
        <v>1364</v>
      </c>
      <c r="J97" s="5">
        <f>1015+349</f>
        <v>1364</v>
      </c>
      <c r="K97" s="5">
        <f>1015+349</f>
        <v>1364</v>
      </c>
      <c r="L97" s="5">
        <f>1015+349</f>
        <v>1364</v>
      </c>
      <c r="M97" s="5">
        <f>1015+349</f>
        <v>1364</v>
      </c>
      <c r="N97" s="5">
        <f>1015+349</f>
        <v>1364</v>
      </c>
      <c r="O97" s="5">
        <f>1015+349</f>
        <v>1364</v>
      </c>
      <c r="P97" s="5">
        <f>1015+349</f>
        <v>1364</v>
      </c>
      <c r="Q97" s="5">
        <f>1015+349</f>
        <v>1364</v>
      </c>
      <c r="R97" s="32">
        <f>Q97*1.15</f>
        <v>1568.6</v>
      </c>
      <c r="S97" s="5">
        <f>R97</f>
        <v>1568.6</v>
      </c>
      <c r="T97" s="5">
        <f>S97</f>
        <v>1568.6</v>
      </c>
      <c r="U97" s="5">
        <f>T97</f>
        <v>1568.6</v>
      </c>
      <c r="V97" s="5">
        <f>U97</f>
        <v>1568.6</v>
      </c>
      <c r="W97" s="5">
        <f>V97</f>
        <v>1568.6</v>
      </c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BB97" s="2" t="s">
        <v>246</v>
      </c>
    </row>
    <row r="98" spans="1:54" ht="18.75" customHeight="1" x14ac:dyDescent="0.35">
      <c r="A98" s="2">
        <v>5862245682</v>
      </c>
      <c r="D98" s="2" t="s">
        <v>58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3510</v>
      </c>
      <c r="R98" s="32">
        <f>Q98*1.15</f>
        <v>4036.4999999999995</v>
      </c>
      <c r="S98" s="5">
        <f>R98</f>
        <v>4036.4999999999995</v>
      </c>
      <c r="T98" s="5">
        <f>S98</f>
        <v>4036.4999999999995</v>
      </c>
      <c r="U98" s="5">
        <f>T98</f>
        <v>4036.4999999999995</v>
      </c>
      <c r="V98" s="5">
        <f>U98</f>
        <v>4036.4999999999995</v>
      </c>
      <c r="W98" s="5">
        <f>V98</f>
        <v>4036.4999999999995</v>
      </c>
      <c r="X98" s="2" t="s">
        <v>3</v>
      </c>
      <c r="AC98" s="6"/>
      <c r="AD98" s="6"/>
      <c r="AE98" s="6"/>
      <c r="AF98" s="6"/>
      <c r="AG98" s="6"/>
      <c r="AH98" s="6"/>
      <c r="BB98" s="2" t="s">
        <v>246</v>
      </c>
    </row>
    <row r="99" spans="1:54" x14ac:dyDescent="0.35">
      <c r="A99" s="2">
        <v>7011016480</v>
      </c>
      <c r="D99" s="2" t="s">
        <v>61</v>
      </c>
      <c r="F99" s="5">
        <v>1167</v>
      </c>
      <c r="G99" s="5">
        <v>1167</v>
      </c>
      <c r="H99" s="5">
        <v>1167</v>
      </c>
      <c r="I99" s="5">
        <v>1167</v>
      </c>
      <c r="J99" s="5">
        <f>1167+159*9/31</f>
        <v>1213.1612903225807</v>
      </c>
      <c r="K99" s="5">
        <f>1167+159</f>
        <v>1326</v>
      </c>
      <c r="L99" s="5">
        <f>1167+159</f>
        <v>1326</v>
      </c>
      <c r="M99" s="5">
        <f>1167+159</f>
        <v>1326</v>
      </c>
      <c r="N99" s="5">
        <f>1167+159</f>
        <v>1326</v>
      </c>
      <c r="O99" s="5">
        <f>1167+159</f>
        <v>1326</v>
      </c>
      <c r="P99" s="5">
        <f>1167+159</f>
        <v>1326</v>
      </c>
      <c r="Q99" s="5">
        <f>1167+159</f>
        <v>1326</v>
      </c>
      <c r="R99" s="32">
        <f>1167+159</f>
        <v>1326</v>
      </c>
      <c r="S99" s="5">
        <f>R99*1.15</f>
        <v>1524.8999999999999</v>
      </c>
      <c r="T99" s="5">
        <f>S99</f>
        <v>1524.8999999999999</v>
      </c>
      <c r="U99" s="5">
        <f>T99</f>
        <v>1524.8999999999999</v>
      </c>
      <c r="V99" s="5">
        <f>U99</f>
        <v>1524.8999999999999</v>
      </c>
      <c r="W99" s="5">
        <f>V99</f>
        <v>1524.8999999999999</v>
      </c>
      <c r="X99" s="2" t="s">
        <v>3</v>
      </c>
      <c r="AC99" s="6"/>
      <c r="AD99" s="6"/>
      <c r="AE99" s="6"/>
      <c r="AF99" s="6"/>
      <c r="AG99" s="6"/>
      <c r="AH99" s="6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BB99" s="2" t="s">
        <v>246</v>
      </c>
    </row>
    <row r="100" spans="1:54" ht="18.75" customHeight="1" x14ac:dyDescent="0.35">
      <c r="A100" s="1">
        <v>8481718487</v>
      </c>
      <c r="B100" s="1"/>
      <c r="C100" s="1"/>
      <c r="D100" s="2" t="s">
        <v>57</v>
      </c>
      <c r="R100" s="7">
        <f>8/31*1036.8</f>
        <v>267.56129032258065</v>
      </c>
      <c r="S100" s="5">
        <f>1036.8</f>
        <v>1036.8</v>
      </c>
      <c r="T100" s="5">
        <f>S100</f>
        <v>1036.8</v>
      </c>
      <c r="U100" s="5">
        <f>T100</f>
        <v>1036.8</v>
      </c>
      <c r="V100" s="5">
        <f>U100</f>
        <v>1036.8</v>
      </c>
      <c r="W100" s="5">
        <f>V100</f>
        <v>1036.8</v>
      </c>
      <c r="X100" s="2" t="s">
        <v>3</v>
      </c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BB100" s="2" t="s">
        <v>246</v>
      </c>
    </row>
    <row r="101" spans="1:54" ht="18.75" customHeight="1" thickBot="1" x14ac:dyDescent="0.4">
      <c r="A101" s="2">
        <v>8942722074</v>
      </c>
      <c r="D101" s="2" t="s">
        <v>59</v>
      </c>
      <c r="F101" s="5">
        <v>1481</v>
      </c>
      <c r="G101" s="5">
        <v>1481</v>
      </c>
      <c r="H101" s="5">
        <v>1481</v>
      </c>
      <c r="I101" s="5">
        <v>1481</v>
      </c>
      <c r="J101" s="5">
        <v>1481</v>
      </c>
      <c r="K101" s="5">
        <v>1481</v>
      </c>
      <c r="L101" s="5">
        <v>1481</v>
      </c>
      <c r="M101" s="5">
        <v>1481</v>
      </c>
      <c r="N101" s="5">
        <v>1481</v>
      </c>
      <c r="O101" s="5">
        <v>1481</v>
      </c>
      <c r="P101" s="5">
        <v>1481</v>
      </c>
      <c r="Q101" s="5">
        <v>1481</v>
      </c>
      <c r="R101" s="7">
        <f>Q101*1.15</f>
        <v>1703.1499999999999</v>
      </c>
      <c r="S101" s="5">
        <f>R101</f>
        <v>1703.1499999999999</v>
      </c>
      <c r="T101" s="5">
        <f>S101</f>
        <v>1703.1499999999999</v>
      </c>
      <c r="U101" s="5">
        <f>T101</f>
        <v>1703.1499999999999</v>
      </c>
      <c r="V101" s="9">
        <f>U101</f>
        <v>1703.1499999999999</v>
      </c>
      <c r="W101" s="9">
        <f>V101</f>
        <v>1703.1499999999999</v>
      </c>
      <c r="X101" s="12" t="s">
        <v>3</v>
      </c>
      <c r="Y101" s="12"/>
      <c r="Z101" s="12"/>
      <c r="AA101" s="12"/>
      <c r="AB101" s="12"/>
      <c r="AC101" s="12"/>
      <c r="AD101" s="12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BB101" s="2" t="s">
        <v>246</v>
      </c>
    </row>
    <row r="102" spans="1:54" ht="18.75" customHeight="1" x14ac:dyDescent="0.35">
      <c r="A102" s="2">
        <v>8943144053</v>
      </c>
      <c r="D102" s="2" t="s">
        <v>60</v>
      </c>
      <c r="M102" s="5">
        <f>23/31*1000/1.23</f>
        <v>603.19958038290065</v>
      </c>
      <c r="N102" s="5">
        <f>1000/1.23</f>
        <v>813.00813008130081</v>
      </c>
      <c r="O102" s="5">
        <f>1000/1.23</f>
        <v>813.00813008130081</v>
      </c>
      <c r="P102" s="5">
        <f>1000/1.23</f>
        <v>813.00813008130081</v>
      </c>
      <c r="Q102" s="5">
        <f>1000/1.23</f>
        <v>813.00813008130081</v>
      </c>
      <c r="R102" s="32">
        <f>1000/1.23</f>
        <v>813.00813008130081</v>
      </c>
      <c r="S102" s="11">
        <f>PRODUCT(R102*1.15)</f>
        <v>934.95934959349586</v>
      </c>
      <c r="T102" s="5">
        <f>S102</f>
        <v>934.95934959349586</v>
      </c>
      <c r="U102" s="5">
        <f>T102</f>
        <v>934.95934959349586</v>
      </c>
      <c r="V102" s="5">
        <f>U102</f>
        <v>934.95934959349586</v>
      </c>
      <c r="W102" s="5">
        <f>V102</f>
        <v>934.95934959349586</v>
      </c>
      <c r="X102" s="2" t="s">
        <v>3</v>
      </c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BB102" s="14" t="s">
        <v>246</v>
      </c>
    </row>
    <row r="103" spans="1:54" x14ac:dyDescent="0.35">
      <c r="A103" s="2">
        <v>5252350506</v>
      </c>
      <c r="B103" s="2">
        <v>103</v>
      </c>
      <c r="D103" s="2" t="s">
        <v>50</v>
      </c>
      <c r="F103" s="5">
        <f>500/1.23</f>
        <v>406.5040650406504</v>
      </c>
      <c r="G103" s="5">
        <f>500/1.23</f>
        <v>406.5040650406504</v>
      </c>
      <c r="H103" s="5">
        <f>500/1.23</f>
        <v>406.5040650406504</v>
      </c>
      <c r="I103" s="5">
        <f>500/1.23</f>
        <v>406.5040650406504</v>
      </c>
      <c r="J103" s="5">
        <f>500/1.23</f>
        <v>406.5040650406504</v>
      </c>
      <c r="K103" s="5">
        <f>500/1.23</f>
        <v>406.5040650406504</v>
      </c>
      <c r="L103" s="5">
        <f>500/1.23</f>
        <v>406.5040650406504</v>
      </c>
      <c r="M103" s="5">
        <f>400/1.23</f>
        <v>325.20325203252031</v>
      </c>
      <c r="N103" s="5">
        <f>400/1.23</f>
        <v>325.20325203252031</v>
      </c>
      <c r="O103" s="5">
        <f>400/1.23</f>
        <v>325.20325203252031</v>
      </c>
      <c r="P103" s="5">
        <f>400/1.23</f>
        <v>325.20325203252031</v>
      </c>
      <c r="Q103" s="5">
        <f>400/1.23</f>
        <v>325.20325203252031</v>
      </c>
      <c r="R103" s="7">
        <f>400/1.23</f>
        <v>325.20325203252031</v>
      </c>
      <c r="S103" s="5">
        <f>R103*1.15</f>
        <v>373.98373983739833</v>
      </c>
      <c r="T103" s="5">
        <f>S103</f>
        <v>373.98373983739833</v>
      </c>
      <c r="U103" s="5">
        <f>T103</f>
        <v>373.98373983739833</v>
      </c>
      <c r="V103" s="5">
        <f>U103</f>
        <v>373.98373983739833</v>
      </c>
      <c r="W103" s="2" t="s">
        <v>3</v>
      </c>
      <c r="BB103" s="2" t="s">
        <v>245</v>
      </c>
    </row>
    <row r="104" spans="1:54" ht="15" customHeight="1" x14ac:dyDescent="0.35">
      <c r="A104" s="2">
        <v>5862324364</v>
      </c>
      <c r="B104" s="2">
        <v>516</v>
      </c>
      <c r="D104" s="2" t="s">
        <v>53</v>
      </c>
      <c r="F104" s="5">
        <v>2943.2</v>
      </c>
      <c r="G104" s="5">
        <v>2943.2</v>
      </c>
      <c r="H104" s="5">
        <v>2943.2</v>
      </c>
      <c r="I104" s="5">
        <v>2943.2</v>
      </c>
      <c r="J104" s="5">
        <v>2943.2</v>
      </c>
      <c r="K104" s="5">
        <v>2943.2</v>
      </c>
      <c r="L104" s="5">
        <v>2943.2</v>
      </c>
      <c r="M104" s="5">
        <v>2943.2</v>
      </c>
      <c r="N104" s="5">
        <v>2943.2</v>
      </c>
      <c r="O104" s="5">
        <v>2943.2</v>
      </c>
      <c r="P104" s="5">
        <v>2943.2</v>
      </c>
      <c r="Q104" s="5">
        <v>2943.2</v>
      </c>
      <c r="R104" s="32">
        <v>2943.2</v>
      </c>
      <c r="S104" s="5">
        <v>2943.2</v>
      </c>
      <c r="T104" s="5">
        <f>S104</f>
        <v>2943.2</v>
      </c>
      <c r="U104" s="5">
        <f>T104</f>
        <v>2943.2</v>
      </c>
      <c r="V104" s="5">
        <f>U104</f>
        <v>2943.2</v>
      </c>
      <c r="W104" s="2" t="s">
        <v>3</v>
      </c>
      <c r="AC104" s="6"/>
      <c r="AD104" s="6"/>
      <c r="AE104" s="6"/>
      <c r="AF104" s="6"/>
      <c r="AG104" s="6"/>
      <c r="BB104" s="2" t="s">
        <v>245</v>
      </c>
    </row>
    <row r="105" spans="1:54" x14ac:dyDescent="0.35">
      <c r="A105" s="2">
        <v>7822550546</v>
      </c>
      <c r="D105" s="2" t="s">
        <v>49</v>
      </c>
      <c r="F105" s="5">
        <v>2100</v>
      </c>
      <c r="G105" s="5">
        <v>2100</v>
      </c>
      <c r="H105" s="5">
        <v>2100</v>
      </c>
      <c r="I105" s="5">
        <v>2100</v>
      </c>
      <c r="J105" s="5">
        <v>2100</v>
      </c>
      <c r="K105" s="5">
        <v>2100</v>
      </c>
      <c r="L105" s="5">
        <v>2100</v>
      </c>
      <c r="M105" s="5">
        <f>2100*0.8</f>
        <v>1680</v>
      </c>
      <c r="N105" s="5">
        <v>2100</v>
      </c>
      <c r="O105" s="5">
        <f>2100*0.8</f>
        <v>1680</v>
      </c>
      <c r="P105" s="5">
        <v>2100</v>
      </c>
      <c r="Q105" s="5">
        <v>0</v>
      </c>
      <c r="R105" s="7">
        <v>2100</v>
      </c>
      <c r="S105" s="32">
        <v>2100</v>
      </c>
      <c r="T105" s="32">
        <f>S105</f>
        <v>2100</v>
      </c>
      <c r="U105" s="32">
        <f>T105</f>
        <v>2100</v>
      </c>
      <c r="V105" s="32">
        <f>U105</f>
        <v>2100</v>
      </c>
      <c r="W105" s="2" t="s">
        <v>3</v>
      </c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BB105" s="2" t="s">
        <v>245</v>
      </c>
    </row>
    <row r="106" spans="1:54" x14ac:dyDescent="0.35">
      <c r="A106" s="2">
        <v>8133791111</v>
      </c>
      <c r="B106" s="2">
        <v>887</v>
      </c>
      <c r="D106" s="2" t="s">
        <v>123</v>
      </c>
      <c r="E106" s="2" t="s">
        <v>123</v>
      </c>
      <c r="R106" s="6"/>
      <c r="S106" s="2" t="s">
        <v>124</v>
      </c>
      <c r="T106" s="5">
        <v>1000</v>
      </c>
      <c r="U106" s="5">
        <v>1000</v>
      </c>
      <c r="V106" s="32">
        <v>1000</v>
      </c>
      <c r="W106" s="32" t="s">
        <v>3</v>
      </c>
      <c r="X106" s="32"/>
      <c r="Y106" s="31"/>
      <c r="Z106" s="31"/>
      <c r="AA106" s="31"/>
      <c r="AB106" s="31"/>
      <c r="AC106" s="31"/>
      <c r="AD106" s="31"/>
      <c r="BB106" s="2" t="s">
        <v>245</v>
      </c>
    </row>
    <row r="107" spans="1:54" ht="15.75" customHeight="1" thickBot="1" x14ac:dyDescent="0.4">
      <c r="A107" s="2" t="s">
        <v>54</v>
      </c>
      <c r="B107" s="2">
        <v>858</v>
      </c>
      <c r="D107" s="2" t="s">
        <v>55</v>
      </c>
      <c r="F107" s="2" t="s">
        <v>55</v>
      </c>
      <c r="P107" s="5">
        <f>24/31*468.5</f>
        <v>362.70967741935482</v>
      </c>
      <c r="Q107" s="5">
        <v>468.5</v>
      </c>
      <c r="R107" s="7">
        <v>468.5</v>
      </c>
      <c r="S107" s="7">
        <v>468.5</v>
      </c>
      <c r="T107" s="7">
        <v>468.5</v>
      </c>
      <c r="U107" s="5">
        <f>24/31*800+7/31*468.5</f>
        <v>725.14516129032256</v>
      </c>
      <c r="V107" s="9" t="s">
        <v>56</v>
      </c>
      <c r="W107" s="12"/>
      <c r="X107" s="12"/>
      <c r="Y107" s="12"/>
      <c r="Z107" s="12"/>
      <c r="AA107" s="12"/>
      <c r="AB107" s="12"/>
      <c r="AC107" s="6"/>
      <c r="AD107" s="6"/>
      <c r="AE107" s="31"/>
      <c r="AF107" s="31"/>
      <c r="AG107" s="31"/>
      <c r="AH107" s="39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BB107" s="14" t="s">
        <v>291</v>
      </c>
    </row>
    <row r="108" spans="1:54" ht="18.75" customHeight="1" x14ac:dyDescent="0.35">
      <c r="A108" s="2">
        <v>6612364481</v>
      </c>
      <c r="B108" s="2">
        <v>796</v>
      </c>
      <c r="D108" s="2" t="s">
        <v>46</v>
      </c>
      <c r="G108" s="5">
        <v>1300.81</v>
      </c>
      <c r="H108" s="5">
        <v>1300.81</v>
      </c>
      <c r="I108" s="5">
        <v>1300.81</v>
      </c>
      <c r="J108" s="5">
        <v>1300.81</v>
      </c>
      <c r="K108" s="5">
        <v>1300.81</v>
      </c>
      <c r="L108" s="5">
        <v>1300.81</v>
      </c>
      <c r="M108" s="5">
        <v>1300.81</v>
      </c>
      <c r="N108" s="5">
        <v>1300.81</v>
      </c>
      <c r="O108" s="5">
        <v>1300.81</v>
      </c>
      <c r="P108" s="5">
        <v>1300.81</v>
      </c>
      <c r="Q108" s="5">
        <v>1300.81</v>
      </c>
      <c r="R108" s="32">
        <v>1300.81</v>
      </c>
      <c r="S108" s="5">
        <f>R108*1.15</f>
        <v>1495.9314999999999</v>
      </c>
      <c r="T108" s="5">
        <f>S108</f>
        <v>1495.9314999999999</v>
      </c>
      <c r="U108" s="5">
        <f>T108</f>
        <v>1495.9314999999999</v>
      </c>
      <c r="V108" s="5" t="s">
        <v>3</v>
      </c>
      <c r="AC108" s="6"/>
      <c r="AD108" s="6"/>
      <c r="AE108" s="6"/>
      <c r="AF108" s="6"/>
      <c r="AG108" s="6"/>
      <c r="AH108" s="6"/>
      <c r="AI108" s="6"/>
      <c r="AJ108" s="31"/>
      <c r="AK108" s="31"/>
      <c r="BB108" s="2" t="s">
        <v>244</v>
      </c>
    </row>
    <row r="109" spans="1:54" ht="18.75" customHeight="1" x14ac:dyDescent="0.35">
      <c r="A109" s="2">
        <v>7712886908</v>
      </c>
      <c r="D109" s="2" t="s">
        <v>48</v>
      </c>
      <c r="R109" s="6"/>
      <c r="U109" s="5">
        <f>16/31*901.6+21/30*901.6</f>
        <v>1096.461935483871</v>
      </c>
      <c r="V109" s="2" t="s">
        <v>3</v>
      </c>
      <c r="AC109" s="31"/>
      <c r="AD109" s="31"/>
      <c r="AE109" s="31"/>
      <c r="AF109" s="31"/>
      <c r="AG109" s="31"/>
      <c r="BB109" s="2" t="s">
        <v>244</v>
      </c>
    </row>
    <row r="110" spans="1:54" ht="18.75" customHeight="1" x14ac:dyDescent="0.35">
      <c r="A110" s="2">
        <v>8133690835</v>
      </c>
      <c r="B110" s="2">
        <v>674</v>
      </c>
      <c r="D110" s="2" t="s">
        <v>47</v>
      </c>
      <c r="F110" s="5">
        <v>900</v>
      </c>
      <c r="G110" s="5">
        <v>900</v>
      </c>
      <c r="H110" s="5">
        <v>900</v>
      </c>
      <c r="I110" s="5">
        <v>0</v>
      </c>
      <c r="J110" s="5">
        <v>900</v>
      </c>
      <c r="K110" s="5">
        <v>900</v>
      </c>
      <c r="L110" s="5">
        <v>900</v>
      </c>
      <c r="M110" s="5">
        <v>900</v>
      </c>
      <c r="N110" s="5">
        <v>900</v>
      </c>
      <c r="O110" s="5">
        <v>900</v>
      </c>
      <c r="P110" s="5">
        <v>900</v>
      </c>
      <c r="Q110" s="5">
        <v>900</v>
      </c>
      <c r="R110" s="7">
        <v>900</v>
      </c>
      <c r="S110" s="5">
        <v>900</v>
      </c>
      <c r="T110" s="5">
        <v>900</v>
      </c>
      <c r="U110" s="5">
        <f>T110</f>
        <v>900</v>
      </c>
      <c r="V110" s="2" t="s">
        <v>3</v>
      </c>
      <c r="AC110" s="31"/>
      <c r="AD110" s="31"/>
      <c r="AE110" s="31"/>
      <c r="AF110" s="31"/>
      <c r="AG110" s="31"/>
      <c r="AH110" s="31"/>
      <c r="BB110" s="2" t="s">
        <v>244</v>
      </c>
    </row>
    <row r="111" spans="1:54" ht="18.75" customHeight="1" x14ac:dyDescent="0.35">
      <c r="A111" s="2">
        <v>8722425285</v>
      </c>
      <c r="B111" s="2">
        <v>912</v>
      </c>
      <c r="D111" s="2" t="s">
        <v>51</v>
      </c>
      <c r="Q111" s="5">
        <f>26/31*1296</f>
        <v>1086.9677419354839</v>
      </c>
      <c r="R111" s="7">
        <v>1296</v>
      </c>
      <c r="S111" s="5">
        <v>1296</v>
      </c>
      <c r="T111" s="5">
        <f>S111</f>
        <v>1296</v>
      </c>
      <c r="U111" s="5">
        <f>T111</f>
        <v>1296</v>
      </c>
      <c r="V111" s="2" t="s">
        <v>3</v>
      </c>
      <c r="BB111" s="2" t="s">
        <v>244</v>
      </c>
    </row>
    <row r="112" spans="1:54" ht="18.75" customHeight="1" x14ac:dyDescent="0.35">
      <c r="A112" s="2">
        <v>9552385043</v>
      </c>
      <c r="D112" s="2" t="s">
        <v>42</v>
      </c>
      <c r="F112" s="5">
        <v>792</v>
      </c>
      <c r="G112" s="5">
        <v>792</v>
      </c>
      <c r="H112" s="5">
        <v>792</v>
      </c>
      <c r="I112" s="5">
        <v>792</v>
      </c>
      <c r="J112" s="5">
        <v>792</v>
      </c>
      <c r="K112" s="5">
        <v>1583</v>
      </c>
      <c r="L112" s="5">
        <v>1583</v>
      </c>
      <c r="M112" s="5">
        <v>1583</v>
      </c>
      <c r="N112" s="5">
        <v>1583</v>
      </c>
      <c r="O112" s="5">
        <v>1583</v>
      </c>
      <c r="P112" s="5">
        <v>1583</v>
      </c>
      <c r="Q112" s="5">
        <v>1583</v>
      </c>
      <c r="R112" s="7">
        <v>1583</v>
      </c>
      <c r="S112" s="5">
        <v>1583</v>
      </c>
      <c r="T112" s="5">
        <f>S112</f>
        <v>1583</v>
      </c>
      <c r="U112" s="2" t="s">
        <v>43</v>
      </c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BB112" s="14" t="s">
        <v>290</v>
      </c>
    </row>
    <row r="113" spans="1:54" ht="18.75" customHeight="1" x14ac:dyDescent="0.35">
      <c r="A113" s="2">
        <v>5223156256</v>
      </c>
      <c r="D113" s="2" t="s">
        <v>40</v>
      </c>
      <c r="F113" s="5">
        <v>957</v>
      </c>
      <c r="G113" s="5">
        <v>957</v>
      </c>
      <c r="H113" s="5">
        <v>957</v>
      </c>
      <c r="I113" s="5">
        <v>957</v>
      </c>
      <c r="J113" s="5">
        <v>957</v>
      </c>
      <c r="K113" s="5">
        <v>957</v>
      </c>
      <c r="L113" s="5">
        <v>957</v>
      </c>
      <c r="M113" s="5">
        <v>300</v>
      </c>
      <c r="N113" s="5">
        <v>300</v>
      </c>
      <c r="O113" s="5">
        <v>300</v>
      </c>
      <c r="P113" s="5">
        <v>300</v>
      </c>
      <c r="Q113" s="5">
        <v>300</v>
      </c>
      <c r="R113" s="7">
        <v>300</v>
      </c>
      <c r="S113" s="5">
        <v>300</v>
      </c>
      <c r="T113" s="2" t="s">
        <v>3</v>
      </c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BB113" s="2" t="s">
        <v>242</v>
      </c>
    </row>
    <row r="114" spans="1:54" ht="18.75" customHeight="1" x14ac:dyDescent="0.35">
      <c r="A114" s="2">
        <v>5272651441</v>
      </c>
      <c r="D114" s="2" t="s">
        <v>44</v>
      </c>
      <c r="F114" s="5">
        <v>300</v>
      </c>
      <c r="G114" s="5">
        <v>300</v>
      </c>
      <c r="H114" s="5">
        <v>300</v>
      </c>
      <c r="I114" s="5">
        <v>300</v>
      </c>
      <c r="J114" s="5">
        <v>300</v>
      </c>
      <c r="K114" s="5">
        <v>300</v>
      </c>
      <c r="L114" s="5">
        <v>300</v>
      </c>
      <c r="M114" s="5">
        <v>300</v>
      </c>
      <c r="N114" s="5">
        <v>300</v>
      </c>
      <c r="O114" s="5">
        <v>300</v>
      </c>
      <c r="P114" s="5">
        <v>300</v>
      </c>
      <c r="Q114" s="5">
        <v>300</v>
      </c>
      <c r="R114" s="32">
        <v>300</v>
      </c>
      <c r="S114" s="32">
        <f>R114*1.15</f>
        <v>345</v>
      </c>
      <c r="T114" s="2" t="s">
        <v>3</v>
      </c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BB114" s="2" t="s">
        <v>242</v>
      </c>
    </row>
    <row r="115" spans="1:54" ht="18.75" customHeight="1" x14ac:dyDescent="0.35">
      <c r="A115" s="2">
        <v>5993265550</v>
      </c>
      <c r="D115" s="2" t="s">
        <v>165</v>
      </c>
      <c r="M115" s="8">
        <f>5/31*293.3</f>
        <v>47.306451612903224</v>
      </c>
      <c r="N115" s="8">
        <v>293.3</v>
      </c>
      <c r="O115" s="8">
        <v>293.3</v>
      </c>
      <c r="P115" s="8">
        <v>293.3</v>
      </c>
      <c r="Q115" s="8">
        <v>293.3</v>
      </c>
      <c r="R115" s="36">
        <v>293.3</v>
      </c>
      <c r="S115" s="8">
        <v>293.3</v>
      </c>
      <c r="T115" s="2" t="s">
        <v>3</v>
      </c>
      <c r="X115" s="8"/>
      <c r="AC115" s="6"/>
      <c r="AD115" s="6"/>
      <c r="AE115" s="6"/>
      <c r="AF115" s="6"/>
      <c r="AG115" s="6"/>
      <c r="AH115" s="6"/>
      <c r="AI115" s="6"/>
      <c r="AJ115" s="6"/>
      <c r="AK115" s="6"/>
      <c r="AL115" s="31"/>
      <c r="AM115" s="31"/>
      <c r="AN115" s="31"/>
      <c r="AO115" s="31"/>
      <c r="AP115" s="31"/>
      <c r="AQ115" s="31"/>
      <c r="BB115" s="2" t="s">
        <v>242</v>
      </c>
    </row>
    <row r="116" spans="1:54" ht="34.4" customHeight="1" x14ac:dyDescent="0.35">
      <c r="A116" s="2">
        <v>6793182802</v>
      </c>
      <c r="B116" s="2">
        <v>811</v>
      </c>
      <c r="D116" s="2" t="s">
        <v>166</v>
      </c>
      <c r="J116" s="8">
        <v>419</v>
      </c>
      <c r="K116" s="8">
        <v>419</v>
      </c>
      <c r="L116" s="8">
        <v>419</v>
      </c>
      <c r="M116" s="8">
        <v>419</v>
      </c>
      <c r="N116" s="8">
        <v>419</v>
      </c>
      <c r="O116" s="8">
        <v>419</v>
      </c>
      <c r="P116" s="8">
        <v>419</v>
      </c>
      <c r="Q116" s="8">
        <v>419</v>
      </c>
      <c r="R116" s="34">
        <v>419</v>
      </c>
      <c r="S116" s="8">
        <v>419</v>
      </c>
      <c r="X116" s="8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BB116" s="2" t="s">
        <v>242</v>
      </c>
    </row>
    <row r="117" spans="1:54" ht="15.75" customHeight="1" x14ac:dyDescent="0.35">
      <c r="A117" s="31">
        <v>7811850291</v>
      </c>
      <c r="B117" s="31"/>
      <c r="C117" s="31"/>
      <c r="D117" s="31" t="s">
        <v>52</v>
      </c>
      <c r="E117" s="31"/>
      <c r="F117" s="32">
        <v>790</v>
      </c>
      <c r="G117" s="32">
        <v>790</v>
      </c>
      <c r="H117" s="32">
        <v>790</v>
      </c>
      <c r="I117" s="32">
        <v>790</v>
      </c>
      <c r="J117" s="32">
        <v>790</v>
      </c>
      <c r="K117" s="32">
        <v>790</v>
      </c>
      <c r="L117" s="32">
        <v>790</v>
      </c>
      <c r="M117" s="32">
        <v>790</v>
      </c>
      <c r="N117" s="32">
        <v>790</v>
      </c>
      <c r="O117" s="32">
        <v>790</v>
      </c>
      <c r="P117" s="32">
        <v>790</v>
      </c>
      <c r="Q117" s="32">
        <v>790</v>
      </c>
      <c r="R117" s="32">
        <v>790</v>
      </c>
      <c r="S117" s="31">
        <f>PRODUCT(R117*1.15)</f>
        <v>908.49999999999989</v>
      </c>
      <c r="T117" s="31" t="s">
        <v>3</v>
      </c>
      <c r="U117" s="31"/>
      <c r="V117" s="31"/>
      <c r="W117" s="31"/>
      <c r="X117" s="31"/>
      <c r="Y117" s="31"/>
      <c r="Z117" s="31"/>
      <c r="AA117" s="31"/>
      <c r="AB117" s="31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2" t="s">
        <v>242</v>
      </c>
    </row>
    <row r="118" spans="1:54" ht="18.75" customHeight="1" x14ac:dyDescent="0.35">
      <c r="A118" s="2">
        <v>7822767033</v>
      </c>
      <c r="B118" s="2">
        <v>248</v>
      </c>
      <c r="D118" s="2" t="s">
        <v>118</v>
      </c>
      <c r="E118" s="2" t="s">
        <v>119</v>
      </c>
      <c r="F118" s="5">
        <f>1220</f>
        <v>1220</v>
      </c>
      <c r="G118" s="5">
        <f>1220</f>
        <v>1220</v>
      </c>
      <c r="H118" s="5">
        <f>1220</f>
        <v>1220</v>
      </c>
      <c r="I118" s="5">
        <f>662+538</f>
        <v>1200</v>
      </c>
      <c r="J118" s="5">
        <f>662+538</f>
        <v>1200</v>
      </c>
      <c r="K118" s="5">
        <f>662+538</f>
        <v>1200</v>
      </c>
      <c r="L118" s="5">
        <f>662+538</f>
        <v>1200</v>
      </c>
      <c r="M118" s="5">
        <f>662+538</f>
        <v>1200</v>
      </c>
      <c r="N118" s="5">
        <f>662+538</f>
        <v>1200</v>
      </c>
      <c r="O118" s="5">
        <f>1220</f>
        <v>1220</v>
      </c>
      <c r="P118" s="5">
        <f>1220</f>
        <v>1220</v>
      </c>
      <c r="Q118" s="5">
        <f>1220</f>
        <v>1220</v>
      </c>
      <c r="R118" s="7">
        <f>Q118*1.15</f>
        <v>1403</v>
      </c>
      <c r="S118" s="5">
        <f>R118</f>
        <v>1403</v>
      </c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BB118" s="2" t="s">
        <v>242</v>
      </c>
    </row>
    <row r="119" spans="1:54" s="14" customFormat="1" ht="18.75" customHeight="1" x14ac:dyDescent="0.35">
      <c r="A119" s="2">
        <v>7822767033</v>
      </c>
      <c r="B119" s="2">
        <v>303</v>
      </c>
      <c r="C119" s="2"/>
      <c r="D119" s="1" t="s">
        <v>118</v>
      </c>
      <c r="E119" s="2" t="s">
        <v>120</v>
      </c>
      <c r="F119" s="5">
        <v>990</v>
      </c>
      <c r="G119" s="5">
        <v>990</v>
      </c>
      <c r="H119" s="5">
        <v>990</v>
      </c>
      <c r="I119" s="5">
        <v>538</v>
      </c>
      <c r="J119" s="5">
        <v>538</v>
      </c>
      <c r="K119" s="5">
        <v>538</v>
      </c>
      <c r="L119" s="5">
        <v>538</v>
      </c>
      <c r="M119" s="5">
        <v>538</v>
      </c>
      <c r="N119" s="5">
        <v>538</v>
      </c>
      <c r="O119" s="5">
        <v>990</v>
      </c>
      <c r="P119" s="5">
        <v>990</v>
      </c>
      <c r="Q119" s="5">
        <v>990</v>
      </c>
      <c r="R119" s="7">
        <f>Q119*1.15</f>
        <v>1138.5</v>
      </c>
      <c r="S119" s="5">
        <f>R119</f>
        <v>1138.5</v>
      </c>
      <c r="T119" s="2"/>
      <c r="U119" s="2"/>
      <c r="V119" s="31"/>
      <c r="W119" s="31"/>
      <c r="X119" s="31"/>
      <c r="Y119" s="31"/>
      <c r="Z119" s="31"/>
      <c r="AA119" s="31"/>
      <c r="AB119" s="31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31"/>
      <c r="AQ119" s="31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 t="s">
        <v>242</v>
      </c>
    </row>
    <row r="120" spans="1:54" s="14" customFormat="1" ht="18.649999999999999" customHeight="1" x14ac:dyDescent="0.35">
      <c r="A120" s="2">
        <v>8942995292</v>
      </c>
      <c r="B120" s="2"/>
      <c r="C120" s="2"/>
      <c r="D120" s="2" t="s">
        <v>41</v>
      </c>
      <c r="E120" s="2"/>
      <c r="F120" s="5">
        <v>808</v>
      </c>
      <c r="G120" s="5">
        <v>808</v>
      </c>
      <c r="H120" s="5">
        <v>808</v>
      </c>
      <c r="I120" s="5">
        <v>808</v>
      </c>
      <c r="J120" s="5">
        <v>808</v>
      </c>
      <c r="K120" s="5">
        <v>808</v>
      </c>
      <c r="L120" s="5">
        <v>808</v>
      </c>
      <c r="M120" s="5">
        <v>808</v>
      </c>
      <c r="N120" s="5">
        <v>808</v>
      </c>
      <c r="O120" s="5">
        <v>808</v>
      </c>
      <c r="P120" s="5">
        <v>808</v>
      </c>
      <c r="Q120" s="5">
        <v>808</v>
      </c>
      <c r="R120" s="32">
        <v>808</v>
      </c>
      <c r="S120" s="5">
        <f>R120*1.15</f>
        <v>929.19999999999993</v>
      </c>
      <c r="T120" s="2" t="s">
        <v>3</v>
      </c>
      <c r="U120" s="2"/>
      <c r="V120" s="2"/>
      <c r="W120" s="2"/>
      <c r="X120" s="2"/>
      <c r="Y120" s="2"/>
      <c r="Z120" s="2"/>
      <c r="AA120" s="2"/>
      <c r="AB120" s="2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31"/>
      <c r="AP120" s="31"/>
      <c r="AQ120" s="31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 t="s">
        <v>242</v>
      </c>
    </row>
    <row r="121" spans="1:54" ht="15.75" customHeight="1" x14ac:dyDescent="0.35">
      <c r="A121" s="2">
        <v>8971849110</v>
      </c>
      <c r="D121" s="2" t="s">
        <v>121</v>
      </c>
      <c r="E121" s="2" t="s">
        <v>122</v>
      </c>
      <c r="F121" s="5">
        <v>980</v>
      </c>
      <c r="G121" s="5">
        <v>980</v>
      </c>
      <c r="H121" s="5">
        <v>980</v>
      </c>
      <c r="I121" s="5">
        <v>980</v>
      </c>
      <c r="J121" s="5">
        <v>980</v>
      </c>
      <c r="K121" s="5">
        <v>980</v>
      </c>
      <c r="L121" s="5">
        <v>980</v>
      </c>
      <c r="M121" s="5">
        <v>980</v>
      </c>
      <c r="N121" s="5">
        <v>980</v>
      </c>
      <c r="O121" s="5">
        <v>980</v>
      </c>
      <c r="P121" s="5">
        <v>980</v>
      </c>
      <c r="Q121" s="5">
        <v>980</v>
      </c>
      <c r="R121" s="32">
        <v>980</v>
      </c>
      <c r="S121" s="5">
        <f>R121*1.15</f>
        <v>1127</v>
      </c>
      <c r="T121" s="5"/>
      <c r="U121" s="5"/>
      <c r="V121" s="5"/>
      <c r="W121" s="5"/>
      <c r="X121" s="5"/>
      <c r="Y121" s="5"/>
      <c r="Z121" s="5"/>
      <c r="AA121" s="5"/>
      <c r="AB121" s="5"/>
      <c r="AC121" s="7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31"/>
      <c r="AR121" s="31"/>
      <c r="AS121" s="31"/>
      <c r="AT121" s="31"/>
      <c r="BB121" s="2" t="s">
        <v>242</v>
      </c>
    </row>
    <row r="122" spans="1:54" s="14" customFormat="1" x14ac:dyDescent="0.35">
      <c r="A122" s="2">
        <v>9570303587</v>
      </c>
      <c r="B122" s="2"/>
      <c r="C122" s="2"/>
      <c r="D122" s="2" t="s">
        <v>45</v>
      </c>
      <c r="E122" s="2"/>
      <c r="F122" s="5">
        <v>1006</v>
      </c>
      <c r="G122" s="5">
        <v>1006</v>
      </c>
      <c r="H122" s="5">
        <v>1006</v>
      </c>
      <c r="I122" s="5">
        <v>1006</v>
      </c>
      <c r="J122" s="5">
        <v>1006</v>
      </c>
      <c r="K122" s="5">
        <v>1006</v>
      </c>
      <c r="L122" s="5">
        <v>1006</v>
      </c>
      <c r="M122" s="5">
        <v>1006</v>
      </c>
      <c r="N122" s="5">
        <v>1006</v>
      </c>
      <c r="O122" s="5">
        <v>1006</v>
      </c>
      <c r="P122" s="5">
        <v>1006</v>
      </c>
      <c r="Q122" s="5">
        <v>1006</v>
      </c>
      <c r="R122" s="7">
        <v>1006</v>
      </c>
      <c r="S122" s="32">
        <f>R122*1.15</f>
        <v>1156.8999999999999</v>
      </c>
      <c r="T122" s="31" t="s">
        <v>3</v>
      </c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2"/>
      <c r="AV122" s="2"/>
      <c r="AW122" s="2"/>
      <c r="AX122" s="2"/>
      <c r="AY122" s="2"/>
      <c r="AZ122" s="2"/>
      <c r="BA122" s="2"/>
      <c r="BB122" s="14" t="s">
        <v>242</v>
      </c>
    </row>
    <row r="123" spans="1:54" s="14" customFormat="1" ht="15.75" customHeight="1" x14ac:dyDescent="0.35">
      <c r="A123" s="2">
        <v>5423055755</v>
      </c>
      <c r="B123" s="2">
        <v>458</v>
      </c>
      <c r="C123" s="2"/>
      <c r="D123" s="2" t="s">
        <v>38</v>
      </c>
      <c r="E123" s="2"/>
      <c r="F123" s="5">
        <v>1160</v>
      </c>
      <c r="G123" s="5">
        <v>1160</v>
      </c>
      <c r="H123" s="5">
        <v>1160</v>
      </c>
      <c r="I123" s="5">
        <v>1160</v>
      </c>
      <c r="J123" s="5">
        <v>1160</v>
      </c>
      <c r="K123" s="5">
        <v>1160</v>
      </c>
      <c r="L123" s="5">
        <f>1161*0.9</f>
        <v>1044.9000000000001</v>
      </c>
      <c r="M123" s="5">
        <v>1160</v>
      </c>
      <c r="N123" s="5">
        <v>1160</v>
      </c>
      <c r="O123" s="5">
        <v>1160</v>
      </c>
      <c r="P123" s="5">
        <v>1160</v>
      </c>
      <c r="Q123" s="5">
        <v>1160</v>
      </c>
      <c r="R123" s="32">
        <v>1160</v>
      </c>
      <c r="S123" s="2" t="s">
        <v>3</v>
      </c>
      <c r="T123" s="2"/>
      <c r="U123" s="2"/>
      <c r="V123" s="2"/>
      <c r="W123" s="2"/>
      <c r="X123" s="2"/>
      <c r="Y123" s="2"/>
      <c r="Z123" s="2"/>
      <c r="AA123" s="2"/>
      <c r="AB123" s="2"/>
      <c r="AC123" s="6"/>
      <c r="AD123" s="6"/>
      <c r="AE123" s="6"/>
      <c r="AF123" s="6"/>
      <c r="AG123" s="6"/>
      <c r="AH123" s="2"/>
      <c r="AI123" s="6"/>
      <c r="AJ123" s="6"/>
      <c r="AK123" s="6"/>
      <c r="AL123" s="6"/>
      <c r="AM123" s="6"/>
      <c r="AN123" s="2"/>
      <c r="AO123" s="6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 t="s">
        <v>241</v>
      </c>
    </row>
    <row r="124" spans="1:54" s="14" customFormat="1" ht="15.75" customHeight="1" thickBot="1" x14ac:dyDescent="0.4">
      <c r="A124" s="2">
        <v>8943128568</v>
      </c>
      <c r="B124" s="2">
        <v>383</v>
      </c>
      <c r="C124" s="2"/>
      <c r="D124" s="2" t="s">
        <v>39</v>
      </c>
      <c r="E124" s="2"/>
      <c r="F124" s="5">
        <v>500</v>
      </c>
      <c r="G124" s="5">
        <v>500</v>
      </c>
      <c r="H124" s="5">
        <v>500</v>
      </c>
      <c r="I124" s="5">
        <v>500</v>
      </c>
      <c r="J124" s="5">
        <v>500</v>
      </c>
      <c r="K124" s="5">
        <v>500</v>
      </c>
      <c r="L124" s="5">
        <v>500</v>
      </c>
      <c r="M124" s="5">
        <v>500</v>
      </c>
      <c r="N124" s="5">
        <v>500</v>
      </c>
      <c r="O124" s="5">
        <v>500</v>
      </c>
      <c r="P124" s="5">
        <v>500</v>
      </c>
      <c r="Q124" s="5">
        <v>500</v>
      </c>
      <c r="R124" s="9">
        <v>500</v>
      </c>
      <c r="S124" s="9" t="s">
        <v>3</v>
      </c>
      <c r="T124" s="2"/>
      <c r="U124" s="2"/>
      <c r="V124" s="2"/>
      <c r="W124" s="2"/>
      <c r="X124" s="2"/>
      <c r="Y124" s="2"/>
      <c r="Z124" s="2"/>
      <c r="AA124" s="2"/>
      <c r="AB124" s="2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 t="s">
        <v>241</v>
      </c>
    </row>
    <row r="125" spans="1:54" s="14" customFormat="1" x14ac:dyDescent="0.35">
      <c r="A125" s="2">
        <v>7792425870</v>
      </c>
      <c r="B125" s="2">
        <v>333</v>
      </c>
      <c r="C125" s="2"/>
      <c r="D125" s="2" t="s">
        <v>7</v>
      </c>
      <c r="E125" s="2"/>
      <c r="F125" s="5">
        <v>495</v>
      </c>
      <c r="G125" s="5">
        <v>495</v>
      </c>
      <c r="H125" s="5">
        <v>495</v>
      </c>
      <c r="I125" s="5">
        <v>495</v>
      </c>
      <c r="J125" s="5">
        <v>495</v>
      </c>
      <c r="K125" s="5">
        <v>495</v>
      </c>
      <c r="L125" s="5">
        <v>495</v>
      </c>
      <c r="M125" s="5">
        <v>495</v>
      </c>
      <c r="N125" s="5">
        <v>495</v>
      </c>
      <c r="O125" s="5">
        <v>495</v>
      </c>
      <c r="P125" s="5">
        <v>495</v>
      </c>
      <c r="Q125" s="5">
        <v>495</v>
      </c>
      <c r="R125" s="7" t="s">
        <v>3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2"/>
      <c r="AT125" s="2"/>
      <c r="AU125" s="2"/>
      <c r="AV125" s="2"/>
      <c r="AW125" s="2"/>
      <c r="AX125" s="2"/>
      <c r="AY125" s="2"/>
      <c r="AZ125" s="2"/>
      <c r="BA125" s="2"/>
      <c r="BB125" s="2" t="s">
        <v>240</v>
      </c>
    </row>
    <row r="126" spans="1:54" x14ac:dyDescent="0.35">
      <c r="A126" s="2">
        <v>8942995292</v>
      </c>
      <c r="D126" s="2" t="s">
        <v>41</v>
      </c>
      <c r="F126" s="5">
        <v>808</v>
      </c>
      <c r="G126" s="5">
        <v>808</v>
      </c>
      <c r="H126" s="5">
        <v>808</v>
      </c>
      <c r="I126" s="5">
        <v>808</v>
      </c>
      <c r="J126" s="5">
        <v>808</v>
      </c>
      <c r="K126" s="5">
        <v>808</v>
      </c>
      <c r="L126" s="5">
        <v>808</v>
      </c>
      <c r="M126" s="5">
        <v>808</v>
      </c>
      <c r="N126" s="5">
        <v>808</v>
      </c>
      <c r="O126" s="5">
        <v>808</v>
      </c>
      <c r="P126" s="5">
        <v>808</v>
      </c>
      <c r="Q126" s="5">
        <v>808</v>
      </c>
      <c r="R126" s="32" t="s">
        <v>3</v>
      </c>
      <c r="S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BB126" s="2" t="s">
        <v>240</v>
      </c>
    </row>
    <row r="127" spans="1:54" x14ac:dyDescent="0.35">
      <c r="A127" s="2">
        <v>8943083506</v>
      </c>
      <c r="B127" s="2">
        <v>261</v>
      </c>
      <c r="D127" s="2" t="s">
        <v>83</v>
      </c>
      <c r="E127" s="2" t="s">
        <v>84</v>
      </c>
      <c r="F127" s="5">
        <v>742.5</v>
      </c>
      <c r="G127" s="5">
        <v>742.5</v>
      </c>
      <c r="H127" s="5">
        <v>742.5</v>
      </c>
      <c r="I127" s="5">
        <v>742.5</v>
      </c>
      <c r="J127" s="5">
        <v>742.5</v>
      </c>
      <c r="K127" s="5">
        <v>742.5</v>
      </c>
      <c r="L127" s="5">
        <v>742.5</v>
      </c>
      <c r="M127" s="5">
        <v>742.5</v>
      </c>
      <c r="N127" s="5">
        <v>742.5</v>
      </c>
      <c r="O127" s="5">
        <v>742.5</v>
      </c>
      <c r="P127" s="5">
        <v>742.5</v>
      </c>
      <c r="Q127" s="5">
        <v>742.5</v>
      </c>
      <c r="R127" s="31" t="s">
        <v>3</v>
      </c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BB127" s="2" t="s">
        <v>240</v>
      </c>
    </row>
    <row r="128" spans="1:54" s="14" customFormat="1" ht="15.75" customHeight="1" x14ac:dyDescent="0.35">
      <c r="A128" s="2">
        <v>9512504004</v>
      </c>
      <c r="B128" s="2">
        <v>508</v>
      </c>
      <c r="C128" s="2"/>
      <c r="D128" s="2" t="s">
        <v>37</v>
      </c>
      <c r="E128" s="2"/>
      <c r="F128" s="5">
        <v>1000</v>
      </c>
      <c r="G128" s="5">
        <v>1000</v>
      </c>
      <c r="H128" s="5">
        <v>1000</v>
      </c>
      <c r="I128" s="5">
        <v>1000</v>
      </c>
      <c r="J128" s="5">
        <v>1000</v>
      </c>
      <c r="K128" s="5">
        <f>800/1.23</f>
        <v>650.40650406504062</v>
      </c>
      <c r="L128" s="5">
        <v>0</v>
      </c>
      <c r="M128" s="5">
        <v>0</v>
      </c>
      <c r="N128" s="5">
        <v>0</v>
      </c>
      <c r="O128" s="5">
        <v>0</v>
      </c>
      <c r="P128" s="5">
        <f>800/1.23</f>
        <v>650.40650406504062</v>
      </c>
      <c r="Q128" s="5">
        <f>800/1.23</f>
        <v>650.40650406504062</v>
      </c>
      <c r="R128" s="31" t="s">
        <v>3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31"/>
      <c r="AS128" s="2"/>
      <c r="AT128" s="2"/>
      <c r="AU128" s="2"/>
      <c r="AV128" s="2"/>
      <c r="AW128" s="2"/>
      <c r="AX128" s="2"/>
      <c r="AY128" s="2"/>
      <c r="AZ128" s="2"/>
      <c r="BA128" s="2"/>
      <c r="BB128" s="14" t="s">
        <v>240</v>
      </c>
    </row>
    <row r="129" spans="1:54" s="14" customFormat="1" ht="18.75" customHeight="1" x14ac:dyDescent="0.35">
      <c r="A129" s="31">
        <v>9562319912</v>
      </c>
      <c r="B129" s="31"/>
      <c r="C129" s="31"/>
      <c r="D129" s="31" t="s">
        <v>34</v>
      </c>
      <c r="E129" s="31"/>
      <c r="F129" s="32"/>
      <c r="G129" s="32"/>
      <c r="H129" s="32"/>
      <c r="I129" s="32"/>
      <c r="J129" s="32"/>
      <c r="K129" s="32"/>
      <c r="L129" s="32">
        <v>3060</v>
      </c>
      <c r="M129" s="32">
        <v>3060</v>
      </c>
      <c r="N129" s="32">
        <v>3060</v>
      </c>
      <c r="O129" s="32">
        <v>3060</v>
      </c>
      <c r="P129" s="32">
        <v>3060</v>
      </c>
      <c r="Q129" s="32">
        <v>3060</v>
      </c>
      <c r="R129" s="31" t="s">
        <v>3</v>
      </c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14" t="s">
        <v>240</v>
      </c>
    </row>
    <row r="130" spans="1:54" s="14" customFormat="1" ht="18.75" customHeight="1" x14ac:dyDescent="0.35">
      <c r="A130" s="2">
        <v>6772250007</v>
      </c>
      <c r="B130" s="2"/>
      <c r="C130" s="2"/>
      <c r="D130" s="2" t="s">
        <v>35</v>
      </c>
      <c r="E130" s="2"/>
      <c r="F130" s="5">
        <v>1116</v>
      </c>
      <c r="G130" s="5">
        <v>1116</v>
      </c>
      <c r="H130" s="5">
        <v>1116</v>
      </c>
      <c r="I130" s="5">
        <v>1116</v>
      </c>
      <c r="J130" s="5">
        <v>1116</v>
      </c>
      <c r="K130" s="5">
        <v>1116</v>
      </c>
      <c r="L130" s="5">
        <v>1116</v>
      </c>
      <c r="M130" s="5">
        <v>1116</v>
      </c>
      <c r="N130" s="5">
        <v>1116</v>
      </c>
      <c r="O130" s="5">
        <v>1116</v>
      </c>
      <c r="P130" s="8" t="s">
        <v>36</v>
      </c>
      <c r="Q130" s="8"/>
      <c r="R130" s="31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6"/>
      <c r="AD130" s="6"/>
      <c r="AE130" s="6"/>
      <c r="AF130" s="6"/>
      <c r="AG130" s="6"/>
      <c r="AH130" s="6"/>
      <c r="AI130" s="31"/>
      <c r="AJ130" s="6"/>
      <c r="AK130" s="6"/>
      <c r="AL130" s="31"/>
      <c r="AM130" s="6"/>
      <c r="AN130" s="6"/>
      <c r="AO130" s="6"/>
      <c r="AP130" s="31"/>
      <c r="AQ130" s="6"/>
      <c r="AR130" s="6"/>
      <c r="AS130" s="31"/>
      <c r="AT130" s="2"/>
      <c r="AU130" s="2"/>
      <c r="AV130" s="2"/>
      <c r="AW130" s="2"/>
      <c r="AX130" s="2"/>
      <c r="AY130" s="2"/>
      <c r="AZ130" s="2"/>
      <c r="BA130" s="2"/>
      <c r="BB130" s="2" t="s">
        <v>289</v>
      </c>
    </row>
    <row r="131" spans="1:54" s="14" customFormat="1" ht="15.75" customHeight="1" x14ac:dyDescent="0.35">
      <c r="A131" s="2">
        <v>6791253691</v>
      </c>
      <c r="B131" s="2">
        <v>836</v>
      </c>
      <c r="C131" s="2"/>
      <c r="D131" s="2" t="s">
        <v>33</v>
      </c>
      <c r="E131" s="2"/>
      <c r="F131" s="2"/>
      <c r="G131" s="2"/>
      <c r="H131" s="2"/>
      <c r="I131" s="2"/>
      <c r="J131" s="2"/>
      <c r="K131" s="2"/>
      <c r="L131" s="5">
        <v>1031.9000000000001</v>
      </c>
      <c r="M131" s="5">
        <v>1031.9000000000001</v>
      </c>
      <c r="N131" s="5">
        <v>1031.9000000000001</v>
      </c>
      <c r="O131" s="5">
        <v>1031.9000000000001</v>
      </c>
      <c r="P131" s="5">
        <v>1031.9000000000001</v>
      </c>
      <c r="Q131" s="5" t="s">
        <v>3</v>
      </c>
      <c r="R131" s="31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31"/>
      <c r="AD131" s="31"/>
      <c r="AE131" s="31"/>
      <c r="AF131" s="31"/>
      <c r="AG131" s="31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 t="s">
        <v>239</v>
      </c>
    </row>
    <row r="132" spans="1:54" s="14" customFormat="1" x14ac:dyDescent="0.35">
      <c r="A132" s="2">
        <v>5251488680</v>
      </c>
      <c r="B132" s="2">
        <v>18</v>
      </c>
      <c r="C132" s="2"/>
      <c r="D132" s="2" t="s">
        <v>4</v>
      </c>
      <c r="E132" s="2"/>
      <c r="F132" s="5">
        <v>950</v>
      </c>
      <c r="G132" s="5">
        <v>950</v>
      </c>
      <c r="H132" s="5">
        <v>950</v>
      </c>
      <c r="I132" s="5">
        <v>950</v>
      </c>
      <c r="J132" s="5">
        <v>950</v>
      </c>
      <c r="K132" s="5">
        <v>950</v>
      </c>
      <c r="L132" s="5">
        <v>950</v>
      </c>
      <c r="M132" s="5">
        <v>950</v>
      </c>
      <c r="N132" s="5">
        <v>950</v>
      </c>
      <c r="O132" s="5" t="s">
        <v>3</v>
      </c>
      <c r="P132" s="5"/>
      <c r="Q132" s="5"/>
      <c r="R132" s="31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 t="s">
        <v>237</v>
      </c>
    </row>
    <row r="133" spans="1:54" s="14" customFormat="1" ht="18.75" customHeight="1" x14ac:dyDescent="0.35">
      <c r="A133" s="2">
        <v>7010343001</v>
      </c>
      <c r="B133" s="2"/>
      <c r="C133" s="2"/>
      <c r="D133" s="2" t="s">
        <v>10</v>
      </c>
      <c r="E133" s="2"/>
      <c r="F133" s="5">
        <v>2154.5</v>
      </c>
      <c r="G133" s="5">
        <v>2154.5</v>
      </c>
      <c r="H133" s="5">
        <v>2154.5</v>
      </c>
      <c r="I133" s="5">
        <v>2154.5</v>
      </c>
      <c r="J133" s="5">
        <v>2154.5</v>
      </c>
      <c r="K133" s="5">
        <v>2154.5</v>
      </c>
      <c r="L133" s="5">
        <v>2154.5</v>
      </c>
      <c r="M133" s="5">
        <v>2154.5</v>
      </c>
      <c r="N133" s="5">
        <v>2154.5</v>
      </c>
      <c r="O133" s="5" t="s">
        <v>3</v>
      </c>
      <c r="P133" s="5"/>
      <c r="Q133" s="5"/>
      <c r="R133" s="6"/>
      <c r="S133" s="31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2"/>
      <c r="AT133" s="2"/>
      <c r="AU133" s="2"/>
      <c r="AV133" s="2"/>
      <c r="AW133" s="2"/>
      <c r="AX133" s="2"/>
      <c r="AY133" s="2"/>
      <c r="AZ133" s="2"/>
      <c r="BA133" s="2"/>
      <c r="BB133" s="2" t="s">
        <v>237</v>
      </c>
    </row>
    <row r="134" spans="1:54" s="14" customFormat="1" ht="18.75" customHeight="1" x14ac:dyDescent="0.35">
      <c r="A134" s="2">
        <v>8361832306</v>
      </c>
      <c r="B134" s="2"/>
      <c r="C134" s="2"/>
      <c r="D134" s="2" t="s">
        <v>32</v>
      </c>
      <c r="E134" s="2"/>
      <c r="F134" s="2"/>
      <c r="G134" s="5">
        <v>500</v>
      </c>
      <c r="H134" s="5">
        <v>500</v>
      </c>
      <c r="I134" s="5">
        <v>500</v>
      </c>
      <c r="J134" s="5">
        <v>908</v>
      </c>
      <c r="K134" s="5">
        <v>908</v>
      </c>
      <c r="L134" s="5">
        <v>908</v>
      </c>
      <c r="M134" s="5">
        <v>908</v>
      </c>
      <c r="N134" s="5">
        <v>908</v>
      </c>
      <c r="O134" s="5" t="s">
        <v>3</v>
      </c>
      <c r="P134" s="5"/>
      <c r="Q134" s="5"/>
      <c r="R134" s="6"/>
      <c r="S134" s="2"/>
      <c r="T134" s="31"/>
      <c r="U134" s="31"/>
      <c r="V134" s="31"/>
      <c r="W134" s="31"/>
      <c r="X134" s="31"/>
      <c r="Y134" s="31"/>
      <c r="Z134" s="31"/>
      <c r="AA134" s="31"/>
      <c r="AB134" s="31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2"/>
      <c r="AT134" s="2"/>
      <c r="AU134" s="2"/>
      <c r="AV134" s="2"/>
      <c r="AW134" s="2"/>
      <c r="AX134" s="2"/>
      <c r="AY134" s="2"/>
      <c r="AZ134" s="2"/>
      <c r="BA134" s="2"/>
      <c r="BB134" s="2" t="s">
        <v>237</v>
      </c>
    </row>
    <row r="135" spans="1:54" s="14" customFormat="1" ht="18.75" customHeight="1" x14ac:dyDescent="0.35">
      <c r="A135" s="2">
        <v>5223096548</v>
      </c>
      <c r="B135" s="2"/>
      <c r="C135" s="2"/>
      <c r="D135" s="2" t="s">
        <v>21</v>
      </c>
      <c r="E135" s="2"/>
      <c r="F135" s="5">
        <v>1463.41</v>
      </c>
      <c r="G135" s="5">
        <v>1463.41</v>
      </c>
      <c r="H135" s="5">
        <v>1463.41</v>
      </c>
      <c r="I135" s="5">
        <v>1463.41</v>
      </c>
      <c r="J135" s="5">
        <v>1463.41</v>
      </c>
      <c r="K135" s="5">
        <v>1463.41</v>
      </c>
      <c r="L135" s="5">
        <v>1463.41</v>
      </c>
      <c r="M135" s="5">
        <v>1463.41</v>
      </c>
      <c r="N135" s="5" t="s">
        <v>3</v>
      </c>
      <c r="O135" s="5"/>
      <c r="P135" s="5"/>
      <c r="Q135" s="5"/>
      <c r="R135" s="31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2"/>
      <c r="AT135" s="2"/>
      <c r="AU135" s="2"/>
      <c r="AV135" s="2"/>
      <c r="AW135" s="2"/>
      <c r="AX135" s="2"/>
      <c r="AY135" s="2"/>
      <c r="AZ135" s="2"/>
      <c r="BA135" s="2"/>
      <c r="BB135" s="2" t="s">
        <v>236</v>
      </c>
    </row>
    <row r="136" spans="1:54" s="14" customFormat="1" x14ac:dyDescent="0.35">
      <c r="A136" s="2">
        <v>8992306076</v>
      </c>
      <c r="B136" s="2">
        <v>368</v>
      </c>
      <c r="C136" s="2"/>
      <c r="D136" s="2" t="s">
        <v>9</v>
      </c>
      <c r="E136" s="2"/>
      <c r="F136" s="5">
        <v>1344</v>
      </c>
      <c r="G136" s="5">
        <v>1344</v>
      </c>
      <c r="H136" s="5">
        <v>1344</v>
      </c>
      <c r="I136" s="5">
        <v>1344</v>
      </c>
      <c r="J136" s="5">
        <v>1344</v>
      </c>
      <c r="K136" s="5">
        <v>1344</v>
      </c>
      <c r="L136" s="5">
        <v>1344</v>
      </c>
      <c r="M136" s="5">
        <v>1344</v>
      </c>
      <c r="N136" s="5" t="s">
        <v>3</v>
      </c>
      <c r="O136" s="5"/>
      <c r="P136" s="5"/>
      <c r="Q136" s="5"/>
      <c r="R136" s="31"/>
      <c r="S136" s="31"/>
      <c r="T136" s="2"/>
      <c r="U136" s="2"/>
      <c r="V136" s="2"/>
      <c r="W136" s="2"/>
      <c r="X136" s="2"/>
      <c r="Y136" s="2"/>
      <c r="Z136" s="2"/>
      <c r="AA136" s="2"/>
      <c r="AB136" s="2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14" t="s">
        <v>236</v>
      </c>
    </row>
    <row r="137" spans="1:54" s="14" customFormat="1" ht="15.65" customHeight="1" x14ac:dyDescent="0.35">
      <c r="A137" s="2">
        <v>5213912615</v>
      </c>
      <c r="B137" s="2"/>
      <c r="C137" s="2"/>
      <c r="D137" s="2" t="s">
        <v>16</v>
      </c>
      <c r="E137" s="2"/>
      <c r="F137" s="5">
        <v>407</v>
      </c>
      <c r="G137" s="5">
        <v>957</v>
      </c>
      <c r="H137" s="5">
        <v>957</v>
      </c>
      <c r="I137" s="5">
        <v>957</v>
      </c>
      <c r="J137" s="5">
        <v>957</v>
      </c>
      <c r="K137" s="5">
        <v>957</v>
      </c>
      <c r="L137" s="5">
        <v>0</v>
      </c>
      <c r="M137" s="5" t="s">
        <v>3</v>
      </c>
      <c r="N137" s="5"/>
      <c r="O137" s="5"/>
      <c r="P137" s="5"/>
      <c r="Q137" s="5"/>
      <c r="R137" s="31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 t="s">
        <v>235</v>
      </c>
    </row>
    <row r="138" spans="1:54" s="14" customFormat="1" ht="15.75" customHeight="1" thickBot="1" x14ac:dyDescent="0.4">
      <c r="A138" s="2">
        <v>7121640630</v>
      </c>
      <c r="B138" s="2"/>
      <c r="C138" s="2"/>
      <c r="D138" s="2" t="s">
        <v>31</v>
      </c>
      <c r="E138" s="2"/>
      <c r="F138" s="5">
        <v>1226</v>
      </c>
      <c r="G138" s="5">
        <v>1226</v>
      </c>
      <c r="H138" s="5">
        <v>1226</v>
      </c>
      <c r="I138" s="5">
        <v>1226</v>
      </c>
      <c r="J138" s="5">
        <v>1226</v>
      </c>
      <c r="K138" s="5">
        <v>1226</v>
      </c>
      <c r="L138" s="5">
        <v>1226</v>
      </c>
      <c r="M138" s="5" t="s">
        <v>3</v>
      </c>
      <c r="N138" s="5"/>
      <c r="O138" s="5"/>
      <c r="P138" s="5"/>
      <c r="Q138" s="5"/>
      <c r="R138" s="31"/>
      <c r="S138" s="12"/>
      <c r="T138" s="2"/>
      <c r="U138" s="2"/>
      <c r="V138" s="2"/>
      <c r="W138" s="2"/>
      <c r="X138" s="2"/>
      <c r="Y138" s="2"/>
      <c r="Z138" s="2"/>
      <c r="AA138" s="2"/>
      <c r="AB138" s="2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 t="s">
        <v>235</v>
      </c>
    </row>
    <row r="139" spans="1:54" s="14" customFormat="1" ht="15.75" customHeight="1" x14ac:dyDescent="0.35">
      <c r="A139" s="2">
        <v>5252808164</v>
      </c>
      <c r="B139" s="2"/>
      <c r="C139" s="2"/>
      <c r="D139" s="2" t="s">
        <v>28</v>
      </c>
      <c r="E139" s="2"/>
      <c r="F139" s="5">
        <f>908+159+2*159</f>
        <v>1385</v>
      </c>
      <c r="G139" s="5">
        <f>908+159+2*159+159</f>
        <v>1544</v>
      </c>
      <c r="H139" s="5">
        <f>908+159+2*159+159</f>
        <v>1544</v>
      </c>
      <c r="I139" s="5">
        <f>908+159+2*159+159</f>
        <v>1544</v>
      </c>
      <c r="J139" s="5">
        <f>908+159+2*159+159</f>
        <v>1544</v>
      </c>
      <c r="K139" s="5">
        <f>908+159+2*159+159</f>
        <v>1544</v>
      </c>
      <c r="L139" s="5" t="s">
        <v>3</v>
      </c>
      <c r="M139" s="2"/>
      <c r="N139" s="2"/>
      <c r="O139" s="2"/>
      <c r="P139" s="2"/>
      <c r="Q139" s="2"/>
      <c r="R139" s="6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 t="s">
        <v>234</v>
      </c>
    </row>
    <row r="140" spans="1:54" s="14" customFormat="1" ht="18" customHeight="1" x14ac:dyDescent="0.35">
      <c r="A140" s="2">
        <v>6482796979</v>
      </c>
      <c r="B140" s="2"/>
      <c r="C140" s="2"/>
      <c r="D140" s="2" t="s">
        <v>12</v>
      </c>
      <c r="E140" s="2"/>
      <c r="F140" s="5">
        <v>510</v>
      </c>
      <c r="G140" s="5">
        <v>510</v>
      </c>
      <c r="H140" s="5">
        <v>510</v>
      </c>
      <c r="I140" s="5">
        <v>510</v>
      </c>
      <c r="J140" s="5">
        <v>510</v>
      </c>
      <c r="K140" s="5">
        <v>510</v>
      </c>
      <c r="L140" s="5" t="s">
        <v>3</v>
      </c>
      <c r="M140" s="2"/>
      <c r="N140" s="2"/>
      <c r="O140" s="2"/>
      <c r="P140" s="2"/>
      <c r="Q140" s="2"/>
      <c r="R140" s="31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2"/>
      <c r="AU140" s="2"/>
      <c r="AV140" s="2"/>
      <c r="AW140" s="2"/>
      <c r="AX140" s="2"/>
      <c r="AY140" s="2"/>
      <c r="AZ140" s="2"/>
      <c r="BA140" s="2"/>
      <c r="BB140" s="2" t="s">
        <v>234</v>
      </c>
    </row>
    <row r="141" spans="1:54" s="14" customFormat="1" ht="18.75" customHeight="1" thickBot="1" x14ac:dyDescent="0.4">
      <c r="A141" s="2">
        <v>8982173923</v>
      </c>
      <c r="B141" s="2">
        <v>222</v>
      </c>
      <c r="C141" s="2"/>
      <c r="D141" s="2" t="s">
        <v>5</v>
      </c>
      <c r="E141" s="2"/>
      <c r="F141" s="5">
        <v>1910</v>
      </c>
      <c r="G141" s="5">
        <v>1910</v>
      </c>
      <c r="H141" s="5">
        <v>1910</v>
      </c>
      <c r="I141" s="5">
        <v>1910</v>
      </c>
      <c r="J141" s="5">
        <v>1910</v>
      </c>
      <c r="K141" s="5">
        <v>1910</v>
      </c>
      <c r="L141" s="2" t="s">
        <v>3</v>
      </c>
      <c r="M141" s="2"/>
      <c r="N141" s="2"/>
      <c r="O141" s="2"/>
      <c r="P141" s="2"/>
      <c r="Q141" s="2"/>
      <c r="R141" s="6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2"/>
      <c r="AL141" s="12"/>
      <c r="AM141" s="12"/>
      <c r="AN141" s="12"/>
      <c r="AO141" s="33"/>
      <c r="AP141" s="6"/>
      <c r="AQ141" s="6"/>
      <c r="AR141" s="6"/>
      <c r="AS141" s="2"/>
      <c r="AT141" s="2"/>
      <c r="AU141" s="2"/>
      <c r="AV141" s="2"/>
      <c r="AW141" s="2"/>
      <c r="AX141" s="2"/>
      <c r="AY141" s="2"/>
      <c r="AZ141" s="2"/>
      <c r="BA141" s="2"/>
      <c r="BB141" s="14" t="s">
        <v>234</v>
      </c>
    </row>
    <row r="142" spans="1:54" s="22" customFormat="1" ht="15.75" customHeight="1" x14ac:dyDescent="0.35">
      <c r="A142" s="27">
        <v>9522121948</v>
      </c>
      <c r="B142" s="28">
        <v>355</v>
      </c>
      <c r="C142" s="28"/>
      <c r="D142" s="28" t="s">
        <v>8</v>
      </c>
      <c r="E142" s="28"/>
      <c r="F142" s="30">
        <v>0</v>
      </c>
      <c r="G142" s="30">
        <v>0</v>
      </c>
      <c r="H142" s="28">
        <v>0</v>
      </c>
      <c r="I142" s="30">
        <v>1370</v>
      </c>
      <c r="J142" s="30">
        <v>1370</v>
      </c>
      <c r="K142" s="30">
        <v>1370</v>
      </c>
      <c r="L142" s="30" t="s">
        <v>3</v>
      </c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8"/>
      <c r="AT142" s="28"/>
      <c r="AU142" s="28"/>
      <c r="AV142" s="28"/>
      <c r="AW142" s="28"/>
      <c r="AX142" s="28"/>
      <c r="AY142" s="28"/>
      <c r="AZ142" s="28"/>
      <c r="BA142" s="28"/>
      <c r="BB142" s="22" t="s">
        <v>234</v>
      </c>
    </row>
    <row r="143" spans="1:54" s="14" customFormat="1" x14ac:dyDescent="0.35">
      <c r="A143" s="2">
        <v>7812018749</v>
      </c>
      <c r="B143" s="2">
        <v>538</v>
      </c>
      <c r="C143" s="2"/>
      <c r="D143" s="2" t="s">
        <v>14</v>
      </c>
      <c r="E143" s="2"/>
      <c r="F143" s="5">
        <v>609.75</v>
      </c>
      <c r="G143" s="5">
        <v>609.75</v>
      </c>
      <c r="H143" s="5">
        <v>609.75</v>
      </c>
      <c r="I143" s="5">
        <v>609.75</v>
      </c>
      <c r="J143" s="5">
        <v>609.75</v>
      </c>
      <c r="K143" s="5" t="s">
        <v>3</v>
      </c>
      <c r="L143" s="2"/>
      <c r="M143" s="2"/>
      <c r="N143" s="2"/>
      <c r="O143" s="2"/>
      <c r="P143" s="2"/>
      <c r="Q143" s="2"/>
      <c r="R143" s="31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31"/>
      <c r="AT143" s="31"/>
      <c r="AU143" s="31"/>
      <c r="AV143" s="2"/>
      <c r="AW143" s="2"/>
      <c r="AX143" s="2"/>
      <c r="AY143" s="2"/>
      <c r="AZ143" s="2"/>
      <c r="BA143" s="2"/>
      <c r="BB143" s="2" t="s">
        <v>233</v>
      </c>
    </row>
    <row r="144" spans="1:54" s="14" customFormat="1" ht="15.75" customHeight="1" thickBot="1" x14ac:dyDescent="0.4">
      <c r="A144" s="2">
        <v>5213854438</v>
      </c>
      <c r="B144" s="2"/>
      <c r="C144" s="2"/>
      <c r="D144" s="2" t="s">
        <v>25</v>
      </c>
      <c r="E144" s="2"/>
      <c r="F144" s="5">
        <v>298.10000000000002</v>
      </c>
      <c r="G144" s="5">
        <v>298.10000000000002</v>
      </c>
      <c r="H144" s="5">
        <v>298.10000000000002</v>
      </c>
      <c r="I144" s="5">
        <v>0</v>
      </c>
      <c r="J144" s="2" t="s">
        <v>3</v>
      </c>
      <c r="K144" s="2"/>
      <c r="L144" s="2"/>
      <c r="M144" s="2"/>
      <c r="N144" s="2"/>
      <c r="O144" s="2"/>
      <c r="P144" s="2"/>
      <c r="Q144" s="2"/>
      <c r="R144" s="33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2"/>
      <c r="AT144" s="2"/>
      <c r="AU144" s="2"/>
      <c r="AV144" s="2"/>
      <c r="AW144" s="2"/>
      <c r="AX144" s="2"/>
      <c r="AY144" s="2"/>
      <c r="AZ144" s="2"/>
      <c r="BA144" s="2"/>
      <c r="BB144" s="2" t="s">
        <v>232</v>
      </c>
    </row>
    <row r="145" spans="1:54" s="14" customFormat="1" ht="18.75" customHeight="1" x14ac:dyDescent="0.35">
      <c r="A145" s="2">
        <v>6772444728</v>
      </c>
      <c r="B145" s="2">
        <v>671</v>
      </c>
      <c r="C145" s="2"/>
      <c r="D145" s="2" t="s">
        <v>26</v>
      </c>
      <c r="E145" s="2"/>
      <c r="F145" s="5">
        <v>596.20000000000005</v>
      </c>
      <c r="G145" s="5">
        <v>596.20000000000005</v>
      </c>
      <c r="H145" s="5">
        <v>0</v>
      </c>
      <c r="I145" s="5">
        <v>0</v>
      </c>
      <c r="J145" s="2" t="s">
        <v>3</v>
      </c>
      <c r="K145" s="2"/>
      <c r="L145" s="2"/>
      <c r="M145" s="2"/>
      <c r="N145" s="2"/>
      <c r="O145" s="2"/>
      <c r="P145" s="2"/>
      <c r="Q145" s="2"/>
      <c r="R145" s="31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2"/>
      <c r="AU145" s="2"/>
      <c r="AV145" s="2"/>
      <c r="AW145" s="2"/>
      <c r="AX145" s="2"/>
      <c r="AY145" s="2"/>
      <c r="AZ145" s="2"/>
      <c r="BA145" s="2"/>
      <c r="BB145" s="2" t="s">
        <v>232</v>
      </c>
    </row>
    <row r="146" spans="1:54" s="14" customFormat="1" ht="15.75" customHeight="1" x14ac:dyDescent="0.35">
      <c r="A146" s="2">
        <v>7122576845</v>
      </c>
      <c r="B146" s="2"/>
      <c r="C146" s="2"/>
      <c r="D146" s="2" t="s">
        <v>29</v>
      </c>
      <c r="E146" s="2"/>
      <c r="F146" s="5">
        <v>750</v>
      </c>
      <c r="G146" s="5">
        <v>750</v>
      </c>
      <c r="H146" s="5">
        <v>750</v>
      </c>
      <c r="I146" s="5">
        <v>750</v>
      </c>
      <c r="J146" s="5" t="s">
        <v>3</v>
      </c>
      <c r="K146" s="2"/>
      <c r="L146" s="2"/>
      <c r="M146" s="2"/>
      <c r="N146" s="2"/>
      <c r="O146" s="2"/>
      <c r="P146" s="2"/>
      <c r="Q146" s="2"/>
      <c r="R146" s="31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2"/>
      <c r="AV146" s="2"/>
      <c r="AW146" s="2"/>
      <c r="AX146" s="2"/>
      <c r="AY146" s="2"/>
      <c r="AZ146" s="2"/>
      <c r="BA146" s="2"/>
      <c r="BB146" s="2" t="s">
        <v>232</v>
      </c>
    </row>
    <row r="147" spans="1:54" s="14" customFormat="1" ht="15.75" customHeight="1" x14ac:dyDescent="0.35">
      <c r="A147" s="2">
        <v>7272771778</v>
      </c>
      <c r="B147" s="2"/>
      <c r="C147" s="2"/>
      <c r="D147" s="2" t="s">
        <v>27</v>
      </c>
      <c r="E147" s="2"/>
      <c r="F147" s="5">
        <v>908</v>
      </c>
      <c r="G147" s="5">
        <v>908</v>
      </c>
      <c r="H147" s="5">
        <v>908</v>
      </c>
      <c r="I147" s="5">
        <v>908</v>
      </c>
      <c r="J147" s="5" t="s">
        <v>3</v>
      </c>
      <c r="K147" s="2"/>
      <c r="L147" s="2"/>
      <c r="M147" s="2"/>
      <c r="N147" s="2"/>
      <c r="O147" s="2"/>
      <c r="P147" s="2"/>
      <c r="Q147" s="2"/>
      <c r="R147" s="31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31"/>
      <c r="AS147" s="2"/>
      <c r="AT147" s="2"/>
      <c r="AU147" s="2"/>
      <c r="AV147" s="2"/>
      <c r="AW147" s="2"/>
      <c r="AX147" s="2"/>
      <c r="AY147" s="2"/>
      <c r="AZ147" s="2"/>
      <c r="BA147" s="2"/>
      <c r="BB147" s="2" t="s">
        <v>232</v>
      </c>
    </row>
    <row r="148" spans="1:54" s="14" customFormat="1" x14ac:dyDescent="0.35">
      <c r="A148" s="2">
        <v>9512515321</v>
      </c>
      <c r="B148" s="2">
        <v>663</v>
      </c>
      <c r="C148" s="2"/>
      <c r="D148" s="2" t="s">
        <v>22</v>
      </c>
      <c r="E148" s="2"/>
      <c r="F148" s="5">
        <v>1575</v>
      </c>
      <c r="G148" s="5">
        <v>1575</v>
      </c>
      <c r="H148" s="5">
        <v>1575</v>
      </c>
      <c r="I148" s="5">
        <v>1575</v>
      </c>
      <c r="J148" s="2" t="s">
        <v>3</v>
      </c>
      <c r="K148" s="2"/>
      <c r="L148" s="2"/>
      <c r="M148" s="2"/>
      <c r="N148" s="2"/>
      <c r="O148" s="2"/>
      <c r="P148" s="2"/>
      <c r="Q148" s="2"/>
      <c r="R148" s="6"/>
      <c r="S148" s="31"/>
      <c r="T148" s="31"/>
      <c r="U148" s="31"/>
      <c r="V148" s="31"/>
      <c r="W148" s="2"/>
      <c r="X148" s="2"/>
      <c r="Y148" s="2"/>
      <c r="Z148" s="2"/>
      <c r="AA148" s="2"/>
      <c r="AB148" s="2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2"/>
      <c r="AV148" s="2"/>
      <c r="AW148" s="2"/>
      <c r="AX148" s="2"/>
      <c r="AY148" s="2"/>
      <c r="AZ148" s="2"/>
      <c r="BA148" s="2"/>
      <c r="BB148" s="14" t="s">
        <v>232</v>
      </c>
    </row>
    <row r="149" spans="1:54" s="14" customFormat="1" ht="15.75" customHeight="1" x14ac:dyDescent="0.35">
      <c r="A149" s="2">
        <v>5262380182</v>
      </c>
      <c r="B149" s="2"/>
      <c r="C149" s="2"/>
      <c r="D149" s="2" t="s">
        <v>2</v>
      </c>
      <c r="E149" s="2"/>
      <c r="F149" s="5">
        <v>439.02</v>
      </c>
      <c r="G149" s="5">
        <v>439.02</v>
      </c>
      <c r="H149" s="5">
        <v>439.02</v>
      </c>
      <c r="I149" s="2" t="s">
        <v>3</v>
      </c>
      <c r="J149" s="2"/>
      <c r="K149" s="2"/>
      <c r="L149" s="2"/>
      <c r="M149" s="2"/>
      <c r="N149" s="2"/>
      <c r="O149" s="2"/>
      <c r="P149" s="2"/>
      <c r="Q149" s="2"/>
      <c r="R149" s="31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2"/>
      <c r="AV149" s="2"/>
      <c r="AW149" s="2"/>
      <c r="AX149" s="2"/>
      <c r="AY149" s="2"/>
      <c r="AZ149" s="2"/>
      <c r="BA149" s="2"/>
      <c r="BB149" s="2" t="s">
        <v>231</v>
      </c>
    </row>
    <row r="150" spans="1:54" s="14" customFormat="1" ht="15.75" customHeight="1" x14ac:dyDescent="0.35">
      <c r="A150" s="2">
        <v>5213691717</v>
      </c>
      <c r="B150" s="2"/>
      <c r="C150" s="2"/>
      <c r="D150" s="2" t="s">
        <v>11</v>
      </c>
      <c r="E150" s="2"/>
      <c r="F150" s="5">
        <f>1382.11+159</f>
        <v>1541.11</v>
      </c>
      <c r="G150" s="5">
        <f>1382.11+159</f>
        <v>1541.11</v>
      </c>
      <c r="H150" s="5" t="s">
        <v>3</v>
      </c>
      <c r="I150" s="2"/>
      <c r="J150" s="2"/>
      <c r="K150" s="2"/>
      <c r="L150" s="2"/>
      <c r="M150" s="2"/>
      <c r="N150" s="2"/>
      <c r="O150" s="2"/>
      <c r="P150" s="2"/>
      <c r="Q150" s="2"/>
      <c r="R150" s="31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2"/>
      <c r="AV150" s="2"/>
      <c r="AW150" s="2"/>
      <c r="AX150" s="2"/>
      <c r="AY150" s="2"/>
      <c r="AZ150" s="2"/>
      <c r="BA150" s="2"/>
      <c r="BB150" s="2" t="s">
        <v>230</v>
      </c>
    </row>
    <row r="151" spans="1:54" s="14" customFormat="1" ht="15.75" customHeight="1" x14ac:dyDescent="0.35">
      <c r="A151" s="2">
        <v>5422964757</v>
      </c>
      <c r="B151" s="2"/>
      <c r="C151" s="2"/>
      <c r="D151" s="2" t="s">
        <v>13</v>
      </c>
      <c r="E151" s="2"/>
      <c r="F151" s="5">
        <v>711.2</v>
      </c>
      <c r="G151" s="5">
        <v>711.2</v>
      </c>
      <c r="H151" s="5" t="s">
        <v>3</v>
      </c>
      <c r="I151" s="2"/>
      <c r="J151" s="2"/>
      <c r="K151" s="2"/>
      <c r="L151" s="2"/>
      <c r="M151" s="2"/>
      <c r="N151" s="2"/>
      <c r="O151" s="2"/>
      <c r="P151" s="2"/>
      <c r="Q151" s="2"/>
      <c r="R151" s="6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2"/>
      <c r="AV151" s="2"/>
      <c r="AW151" s="2"/>
      <c r="AX151" s="2"/>
      <c r="AY151" s="2"/>
      <c r="AZ151" s="2"/>
      <c r="BA151" s="2"/>
      <c r="BB151" s="2" t="s">
        <v>230</v>
      </c>
    </row>
    <row r="152" spans="1:54" s="14" customFormat="1" ht="15.75" customHeight="1" x14ac:dyDescent="0.35">
      <c r="A152" s="2">
        <v>7182024061</v>
      </c>
      <c r="B152" s="2">
        <v>748</v>
      </c>
      <c r="C152" s="2"/>
      <c r="D152" s="2" t="s">
        <v>30</v>
      </c>
      <c r="E152" s="2"/>
      <c r="F152" s="5">
        <f>7/31*G152+24/31*583</f>
        <v>714.41935483870964</v>
      </c>
      <c r="G152" s="5">
        <v>1165</v>
      </c>
      <c r="H152" s="5" t="s">
        <v>3</v>
      </c>
      <c r="I152" s="2"/>
      <c r="J152" s="2"/>
      <c r="K152" s="2"/>
      <c r="L152" s="2"/>
      <c r="M152" s="2"/>
      <c r="N152" s="2"/>
      <c r="O152" s="2"/>
      <c r="P152" s="2"/>
      <c r="Q152" s="2"/>
      <c r="R152" s="31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6"/>
      <c r="AD152" s="6"/>
      <c r="AE152" s="6"/>
      <c r="AF152" s="6"/>
      <c r="AG152" s="6"/>
      <c r="AH152" s="6"/>
      <c r="AI152" s="6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 t="s">
        <v>230</v>
      </c>
    </row>
    <row r="153" spans="1:54" s="14" customFormat="1" ht="15.75" customHeight="1" x14ac:dyDescent="0.35">
      <c r="A153" s="2">
        <v>7773358902</v>
      </c>
      <c r="B153" s="2"/>
      <c r="C153" s="2"/>
      <c r="D153" s="2" t="s">
        <v>19</v>
      </c>
      <c r="E153" s="2"/>
      <c r="F153" s="5">
        <v>900</v>
      </c>
      <c r="G153" s="5">
        <v>900</v>
      </c>
      <c r="H153" s="2" t="s">
        <v>3</v>
      </c>
      <c r="I153" s="2"/>
      <c r="J153" s="2"/>
      <c r="K153" s="2"/>
      <c r="L153" s="2"/>
      <c r="M153" s="2"/>
      <c r="N153" s="2"/>
      <c r="O153" s="2"/>
      <c r="P153" s="2"/>
      <c r="Q153" s="2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31"/>
      <c r="AS153" s="2"/>
      <c r="AT153" s="2"/>
      <c r="AU153" s="2"/>
      <c r="AV153" s="2"/>
      <c r="AW153" s="2"/>
      <c r="AX153" s="2"/>
      <c r="AY153" s="2"/>
      <c r="AZ153" s="2"/>
      <c r="BA153" s="2"/>
      <c r="BB153" s="2" t="s">
        <v>230</v>
      </c>
    </row>
    <row r="154" spans="1:54" s="14" customFormat="1" ht="15.75" customHeight="1" x14ac:dyDescent="0.35">
      <c r="A154" s="2">
        <v>8762458977</v>
      </c>
      <c r="B154" s="2"/>
      <c r="C154" s="2"/>
      <c r="D154" s="2" t="s">
        <v>23</v>
      </c>
      <c r="E154" s="2"/>
      <c r="F154" s="5">
        <v>850</v>
      </c>
      <c r="G154" s="5">
        <v>850</v>
      </c>
      <c r="H154" s="2" t="s">
        <v>3</v>
      </c>
      <c r="I154" s="2"/>
      <c r="J154" s="2"/>
      <c r="K154" s="2"/>
      <c r="L154" s="2"/>
      <c r="M154" s="2"/>
      <c r="N154" s="2"/>
      <c r="O154" s="2"/>
      <c r="P154" s="2"/>
      <c r="Q154" s="2"/>
      <c r="R154" s="31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2"/>
      <c r="AW154" s="2"/>
      <c r="AX154" s="2"/>
      <c r="AY154" s="2"/>
      <c r="AZ154" s="2"/>
      <c r="BA154" s="2"/>
      <c r="BB154" s="2" t="s">
        <v>230</v>
      </c>
    </row>
    <row r="155" spans="1:54" s="14" customFormat="1" x14ac:dyDescent="0.35">
      <c r="A155" s="2">
        <v>8811376536</v>
      </c>
      <c r="B155" s="2">
        <v>652</v>
      </c>
      <c r="C155" s="2"/>
      <c r="D155" s="2" t="s">
        <v>24</v>
      </c>
      <c r="E155" s="2"/>
      <c r="F155" s="5">
        <v>817.2</v>
      </c>
      <c r="G155" s="5">
        <v>817.2</v>
      </c>
      <c r="H155" s="2" t="s">
        <v>3</v>
      </c>
      <c r="I155" s="2"/>
      <c r="J155" s="2"/>
      <c r="K155" s="2"/>
      <c r="L155" s="2"/>
      <c r="M155" s="2"/>
      <c r="N155" s="2"/>
      <c r="O155" s="2"/>
      <c r="P155" s="2"/>
      <c r="Q155" s="2"/>
      <c r="R155" s="6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 t="s">
        <v>230</v>
      </c>
    </row>
    <row r="156" spans="1:54" s="14" customFormat="1" x14ac:dyDescent="0.35">
      <c r="A156" s="2">
        <v>5671583830</v>
      </c>
      <c r="B156" s="2"/>
      <c r="C156" s="2"/>
      <c r="D156" s="2" t="s">
        <v>18</v>
      </c>
      <c r="E156" s="2"/>
      <c r="F156" s="5">
        <v>813</v>
      </c>
      <c r="G156" s="2" t="s">
        <v>3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6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 t="s">
        <v>229</v>
      </c>
    </row>
    <row r="157" spans="1:54" s="14" customFormat="1" ht="18.75" customHeight="1" x14ac:dyDescent="0.35">
      <c r="A157" s="2">
        <v>6922264302</v>
      </c>
      <c r="B157" s="2"/>
      <c r="C157" s="2"/>
      <c r="D157" s="2" t="s">
        <v>17</v>
      </c>
      <c r="E157" s="2"/>
      <c r="F157" s="5">
        <v>1936</v>
      </c>
      <c r="G157" s="2" t="s">
        <v>3</v>
      </c>
      <c r="H157" s="2"/>
      <c r="I157" s="2"/>
      <c r="J157" s="2"/>
      <c r="K157" s="2"/>
      <c r="L157" s="2"/>
      <c r="M157" s="2"/>
      <c r="N157" s="2"/>
      <c r="O157" s="2"/>
      <c r="P157" s="2"/>
      <c r="Q157" s="5"/>
      <c r="R157" s="31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2"/>
      <c r="AY157" s="2"/>
      <c r="AZ157" s="2"/>
      <c r="BA157" s="2"/>
      <c r="BB157" s="2" t="s">
        <v>229</v>
      </c>
    </row>
    <row r="158" spans="1:54" s="14" customFormat="1" ht="15.75" customHeight="1" x14ac:dyDescent="0.35">
      <c r="A158" s="2">
        <v>7921300143</v>
      </c>
      <c r="B158" s="2"/>
      <c r="C158" s="2"/>
      <c r="D158" s="2" t="s">
        <v>20</v>
      </c>
      <c r="E158" s="2"/>
      <c r="F158" s="5">
        <v>1010.4</v>
      </c>
      <c r="G158" s="2" t="s">
        <v>3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31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6"/>
      <c r="AD158" s="6"/>
      <c r="AE158" s="31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 t="s">
        <v>229</v>
      </c>
    </row>
    <row r="159" spans="1:54" s="14" customFormat="1" ht="15.75" customHeight="1" x14ac:dyDescent="0.35">
      <c r="A159" s="2">
        <v>8992295444</v>
      </c>
      <c r="B159" s="2"/>
      <c r="C159" s="2"/>
      <c r="D159" s="2" t="s">
        <v>15</v>
      </c>
      <c r="E159" s="2"/>
      <c r="F159" s="5">
        <v>540</v>
      </c>
      <c r="G159" s="2" t="s">
        <v>3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31"/>
      <c r="S159" s="2"/>
      <c r="T159" s="31"/>
      <c r="U159" s="31"/>
      <c r="V159" s="31"/>
      <c r="W159" s="31"/>
      <c r="X159" s="31"/>
      <c r="Y159" s="31"/>
      <c r="Z159" s="31"/>
      <c r="AA159" s="31"/>
      <c r="AB159" s="31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2"/>
      <c r="AZ159" s="2"/>
      <c r="BA159" s="2"/>
      <c r="BB159" s="14" t="s">
        <v>229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E126-CB86-4EDF-9606-E07FFFA291C9}">
  <dimension ref="A1:B159"/>
  <sheetViews>
    <sheetView topLeftCell="A131" workbookViewId="0">
      <selection activeCell="A159" sqref="A159"/>
    </sheetView>
  </sheetViews>
  <sheetFormatPr defaultRowHeight="15.5" x14ac:dyDescent="0.35"/>
  <cols>
    <col min="1" max="1" width="9.5" style="2" bestFit="1" customWidth="1"/>
    <col min="2" max="2" width="22" style="2" bestFit="1" customWidth="1"/>
  </cols>
  <sheetData>
    <row r="1" spans="1:2" x14ac:dyDescent="0.35">
      <c r="A1" s="2" t="s">
        <v>0</v>
      </c>
      <c r="B1" s="46" t="s">
        <v>284</v>
      </c>
    </row>
    <row r="2" spans="1:2" x14ac:dyDescent="0.35">
      <c r="A2" s="2">
        <v>5222586517</v>
      </c>
      <c r="B2" s="2" t="s">
        <v>285</v>
      </c>
    </row>
    <row r="3" spans="1:2" x14ac:dyDescent="0.35">
      <c r="A3" s="2">
        <v>5840203541</v>
      </c>
      <c r="B3" s="2" t="s">
        <v>285</v>
      </c>
    </row>
    <row r="4" spans="1:2" x14ac:dyDescent="0.35">
      <c r="A4" s="2">
        <v>7123480633</v>
      </c>
      <c r="B4" s="2" t="s">
        <v>285</v>
      </c>
    </row>
    <row r="5" spans="1:2" x14ac:dyDescent="0.35">
      <c r="A5" s="14">
        <v>6751694710</v>
      </c>
      <c r="B5" s="2" t="s">
        <v>273</v>
      </c>
    </row>
    <row r="6" spans="1:2" x14ac:dyDescent="0.35">
      <c r="A6" s="14">
        <v>9571120216</v>
      </c>
      <c r="B6" s="14" t="s">
        <v>273</v>
      </c>
    </row>
    <row r="7" spans="1:2" x14ac:dyDescent="0.35">
      <c r="A7" s="14">
        <v>5213983383</v>
      </c>
      <c r="B7" s="2" t="s">
        <v>272</v>
      </c>
    </row>
    <row r="8" spans="1:2" x14ac:dyDescent="0.35">
      <c r="A8" s="14">
        <v>5214038422</v>
      </c>
      <c r="B8" s="2" t="s">
        <v>272</v>
      </c>
    </row>
    <row r="9" spans="1:2" x14ac:dyDescent="0.35">
      <c r="A9" s="14">
        <v>8291543085</v>
      </c>
      <c r="B9" s="2" t="s">
        <v>272</v>
      </c>
    </row>
    <row r="10" spans="1:2" x14ac:dyDescent="0.35">
      <c r="A10" s="14">
        <v>6443013625</v>
      </c>
      <c r="B10" s="2" t="s">
        <v>286</v>
      </c>
    </row>
    <row r="11" spans="1:2" x14ac:dyDescent="0.35">
      <c r="A11" s="14">
        <v>5542485321</v>
      </c>
      <c r="B11" s="2" t="s">
        <v>270</v>
      </c>
    </row>
    <row r="12" spans="1:2" x14ac:dyDescent="0.35">
      <c r="A12" s="14">
        <v>5213976638</v>
      </c>
      <c r="B12" s="2" t="s">
        <v>269</v>
      </c>
    </row>
    <row r="13" spans="1:2" x14ac:dyDescent="0.35">
      <c r="A13" s="14">
        <v>6572922910</v>
      </c>
      <c r="B13" s="2" t="s">
        <v>269</v>
      </c>
    </row>
    <row r="14" spans="1:2" x14ac:dyDescent="0.35">
      <c r="A14" s="14">
        <v>7831850472</v>
      </c>
      <c r="B14" s="2" t="s">
        <v>269</v>
      </c>
    </row>
    <row r="15" spans="1:2" x14ac:dyDescent="0.35">
      <c r="A15" s="14">
        <v>8992866645</v>
      </c>
      <c r="B15" s="2" t="s">
        <v>269</v>
      </c>
    </row>
    <row r="16" spans="1:2" x14ac:dyDescent="0.35">
      <c r="A16" s="14">
        <v>9512515114</v>
      </c>
      <c r="B16" s="14" t="s">
        <v>269</v>
      </c>
    </row>
    <row r="17" spans="1:2" x14ac:dyDescent="0.35">
      <c r="A17" s="14">
        <v>9571078158</v>
      </c>
      <c r="B17" s="14" t="s">
        <v>269</v>
      </c>
    </row>
    <row r="18" spans="1:2" x14ac:dyDescent="0.35">
      <c r="A18" s="14">
        <v>5321643282</v>
      </c>
      <c r="B18" s="2" t="s">
        <v>268</v>
      </c>
    </row>
    <row r="19" spans="1:2" x14ac:dyDescent="0.35">
      <c r="A19" s="26">
        <v>7010819366</v>
      </c>
      <c r="B19" s="2" t="s">
        <v>287</v>
      </c>
    </row>
    <row r="20" spans="1:2" x14ac:dyDescent="0.35">
      <c r="A20" s="14">
        <v>8512074804</v>
      </c>
      <c r="B20" s="2" t="s">
        <v>268</v>
      </c>
    </row>
    <row r="21" spans="1:2" x14ac:dyDescent="0.35">
      <c r="A21" s="26">
        <v>9512470819</v>
      </c>
      <c r="B21" s="2" t="s">
        <v>287</v>
      </c>
    </row>
    <row r="22" spans="1:2" x14ac:dyDescent="0.35">
      <c r="A22" s="14">
        <v>9691227253</v>
      </c>
      <c r="B22" s="14" t="s">
        <v>268</v>
      </c>
    </row>
    <row r="23" spans="1:2" x14ac:dyDescent="0.35">
      <c r="A23" s="14">
        <v>1132742696</v>
      </c>
      <c r="B23" s="2" t="s">
        <v>267</v>
      </c>
    </row>
    <row r="24" spans="1:2" x14ac:dyDescent="0.35">
      <c r="A24" s="14">
        <v>5070094210</v>
      </c>
      <c r="B24" s="2" t="s">
        <v>288</v>
      </c>
    </row>
    <row r="25" spans="1:2" x14ac:dyDescent="0.35">
      <c r="A25" s="14">
        <v>5222928662</v>
      </c>
      <c r="B25" s="2" t="s">
        <v>267</v>
      </c>
    </row>
    <row r="26" spans="1:2" x14ac:dyDescent="0.35">
      <c r="A26" s="14">
        <v>5252800889</v>
      </c>
      <c r="B26" s="2" t="s">
        <v>267</v>
      </c>
    </row>
    <row r="27" spans="1:2" x14ac:dyDescent="0.35">
      <c r="A27" s="14">
        <v>6751209442</v>
      </c>
      <c r="B27" s="2" t="s">
        <v>267</v>
      </c>
    </row>
    <row r="28" spans="1:2" x14ac:dyDescent="0.35">
      <c r="A28" s="14">
        <v>8513208336</v>
      </c>
      <c r="B28" s="2" t="s">
        <v>267</v>
      </c>
    </row>
    <row r="29" spans="1:2" x14ac:dyDescent="0.35">
      <c r="A29" s="14">
        <v>8521777215</v>
      </c>
      <c r="B29" s="2" t="s">
        <v>267</v>
      </c>
    </row>
    <row r="30" spans="1:2" x14ac:dyDescent="0.35">
      <c r="A30" s="14">
        <v>8992770431</v>
      </c>
      <c r="B30" s="14" t="s">
        <v>267</v>
      </c>
    </row>
    <row r="31" spans="1:2" x14ac:dyDescent="0.35">
      <c r="A31" s="14">
        <v>9552376162</v>
      </c>
      <c r="B31" s="14" t="s">
        <v>288</v>
      </c>
    </row>
    <row r="32" spans="1:2" x14ac:dyDescent="0.35">
      <c r="A32" s="14">
        <v>5272523080</v>
      </c>
      <c r="B32" s="2" t="s">
        <v>266</v>
      </c>
    </row>
    <row r="33" spans="1:2" x14ac:dyDescent="0.35">
      <c r="A33" s="14">
        <v>9521356916</v>
      </c>
      <c r="B33" s="14" t="s">
        <v>266</v>
      </c>
    </row>
    <row r="34" spans="1:2" x14ac:dyDescent="0.35">
      <c r="A34" s="14">
        <v>1133042357</v>
      </c>
      <c r="B34" s="2" t="s">
        <v>265</v>
      </c>
    </row>
    <row r="35" spans="1:2" x14ac:dyDescent="0.35">
      <c r="A35" s="14">
        <v>5840358054</v>
      </c>
      <c r="B35" s="2" t="s">
        <v>265</v>
      </c>
    </row>
    <row r="36" spans="1:2" x14ac:dyDescent="0.35">
      <c r="A36" s="14">
        <v>6312291826</v>
      </c>
      <c r="B36" s="2" t="s">
        <v>292</v>
      </c>
    </row>
    <row r="37" spans="1:2" x14ac:dyDescent="0.35">
      <c r="A37" s="14">
        <v>6751209442</v>
      </c>
      <c r="B37" s="2" t="s">
        <v>264</v>
      </c>
    </row>
    <row r="38" spans="1:2" x14ac:dyDescent="0.35">
      <c r="A38" s="14">
        <v>6762484040</v>
      </c>
      <c r="B38" s="2" t="s">
        <v>264</v>
      </c>
    </row>
    <row r="39" spans="1:2" x14ac:dyDescent="0.35">
      <c r="A39" s="14">
        <v>8952237825</v>
      </c>
      <c r="B39" s="14" t="s">
        <v>264</v>
      </c>
    </row>
    <row r="40" spans="1:2" x14ac:dyDescent="0.35">
      <c r="A40" s="14">
        <v>9520002091</v>
      </c>
      <c r="B40" s="14" t="s">
        <v>264</v>
      </c>
    </row>
    <row r="41" spans="1:2" x14ac:dyDescent="0.35">
      <c r="A41" s="14">
        <v>5252615933</v>
      </c>
      <c r="B41" s="2" t="s">
        <v>263</v>
      </c>
    </row>
    <row r="42" spans="1:2" x14ac:dyDescent="0.35">
      <c r="A42" s="14">
        <v>6571309828</v>
      </c>
      <c r="B42" s="2" t="s">
        <v>262</v>
      </c>
    </row>
    <row r="43" spans="1:2" x14ac:dyDescent="0.35">
      <c r="A43" s="2">
        <v>6731898059</v>
      </c>
      <c r="B43" s="2" t="s">
        <v>262</v>
      </c>
    </row>
    <row r="44" spans="1:2" x14ac:dyDescent="0.35">
      <c r="A44" s="2">
        <v>6760000150</v>
      </c>
      <c r="B44" s="2" t="s">
        <v>262</v>
      </c>
    </row>
    <row r="45" spans="1:2" x14ac:dyDescent="0.35">
      <c r="A45" s="2">
        <v>8381031650</v>
      </c>
      <c r="B45" s="2" t="s">
        <v>262</v>
      </c>
    </row>
    <row r="46" spans="1:2" x14ac:dyDescent="0.35">
      <c r="A46" s="14">
        <v>9950043000</v>
      </c>
      <c r="B46" s="14" t="s">
        <v>261</v>
      </c>
    </row>
    <row r="47" spans="1:2" x14ac:dyDescent="0.35">
      <c r="A47" s="2">
        <v>1132457808</v>
      </c>
      <c r="B47" s="2" t="s">
        <v>260</v>
      </c>
    </row>
    <row r="48" spans="1:2" x14ac:dyDescent="0.35">
      <c r="A48" s="2">
        <v>1132457808</v>
      </c>
      <c r="B48" s="2" t="s">
        <v>260</v>
      </c>
    </row>
    <row r="49" spans="1:2" x14ac:dyDescent="0.35">
      <c r="A49" s="2">
        <v>1132457808</v>
      </c>
      <c r="B49" s="2" t="s">
        <v>260</v>
      </c>
    </row>
    <row r="50" spans="1:2" x14ac:dyDescent="0.35">
      <c r="A50" s="2">
        <v>1132457808</v>
      </c>
      <c r="B50" s="2" t="s">
        <v>260</v>
      </c>
    </row>
    <row r="51" spans="1:2" x14ac:dyDescent="0.35">
      <c r="A51" s="31">
        <v>1132457808</v>
      </c>
      <c r="B51" s="2" t="s">
        <v>260</v>
      </c>
    </row>
    <row r="52" spans="1:2" x14ac:dyDescent="0.35">
      <c r="A52" s="2">
        <v>9462662763</v>
      </c>
      <c r="B52" s="14" t="s">
        <v>260</v>
      </c>
    </row>
    <row r="53" spans="1:2" x14ac:dyDescent="0.35">
      <c r="A53" s="2">
        <v>9462662763</v>
      </c>
      <c r="B53" s="14" t="s">
        <v>260</v>
      </c>
    </row>
    <row r="54" spans="1:2" x14ac:dyDescent="0.35">
      <c r="A54" s="2">
        <v>6342823469</v>
      </c>
      <c r="B54" s="2" t="s">
        <v>258</v>
      </c>
    </row>
    <row r="55" spans="1:2" x14ac:dyDescent="0.35">
      <c r="A55" s="2">
        <v>7792008244</v>
      </c>
      <c r="B55" s="2" t="s">
        <v>258</v>
      </c>
    </row>
    <row r="56" spans="1:2" x14ac:dyDescent="0.35">
      <c r="A56" s="2">
        <v>5472100071</v>
      </c>
      <c r="B56" s="2" t="s">
        <v>257</v>
      </c>
    </row>
    <row r="57" spans="1:2" x14ac:dyDescent="0.35">
      <c r="A57" s="2">
        <v>6342945468</v>
      </c>
      <c r="B57" s="2" t="s">
        <v>257</v>
      </c>
    </row>
    <row r="58" spans="1:2" x14ac:dyDescent="0.35">
      <c r="A58" s="2">
        <v>6861691753</v>
      </c>
      <c r="B58" s="2" t="s">
        <v>256</v>
      </c>
    </row>
    <row r="59" spans="1:2" x14ac:dyDescent="0.35">
      <c r="A59" s="2">
        <v>8371638959</v>
      </c>
      <c r="B59" s="2" t="s">
        <v>256</v>
      </c>
    </row>
    <row r="60" spans="1:2" x14ac:dyDescent="0.35">
      <c r="A60" s="2">
        <v>5213095056</v>
      </c>
      <c r="B60" s="2" t="s">
        <v>255</v>
      </c>
    </row>
    <row r="61" spans="1:2" x14ac:dyDescent="0.35">
      <c r="A61" s="2">
        <v>6692304416</v>
      </c>
      <c r="B61" s="2" t="s">
        <v>255</v>
      </c>
    </row>
    <row r="62" spans="1:2" x14ac:dyDescent="0.35">
      <c r="A62" s="2">
        <v>9141566659</v>
      </c>
      <c r="B62" s="14" t="s">
        <v>255</v>
      </c>
    </row>
    <row r="63" spans="1:2" x14ac:dyDescent="0.35">
      <c r="A63" s="2">
        <v>5222999260</v>
      </c>
      <c r="B63" s="2" t="s">
        <v>254</v>
      </c>
    </row>
    <row r="64" spans="1:2" x14ac:dyDescent="0.35">
      <c r="A64" s="2">
        <v>6783144467</v>
      </c>
      <c r="B64" s="2" t="s">
        <v>254</v>
      </c>
    </row>
    <row r="65" spans="1:2" x14ac:dyDescent="0.35">
      <c r="A65" s="2">
        <v>7262648898</v>
      </c>
      <c r="B65" s="2" t="s">
        <v>254</v>
      </c>
    </row>
    <row r="66" spans="1:2" x14ac:dyDescent="0.35">
      <c r="A66" s="2">
        <v>9721190768</v>
      </c>
      <c r="B66" s="14" t="s">
        <v>254</v>
      </c>
    </row>
    <row r="67" spans="1:2" x14ac:dyDescent="0.35">
      <c r="A67" s="2">
        <v>1181640926</v>
      </c>
      <c r="B67" s="2" t="s">
        <v>253</v>
      </c>
    </row>
    <row r="68" spans="1:2" x14ac:dyDescent="0.35">
      <c r="A68" s="2">
        <v>7011106763</v>
      </c>
      <c r="B68" s="2" t="s">
        <v>253</v>
      </c>
    </row>
    <row r="69" spans="1:2" x14ac:dyDescent="0.35">
      <c r="A69" s="2">
        <v>5262813327</v>
      </c>
      <c r="B69" s="2" t="s">
        <v>252</v>
      </c>
    </row>
    <row r="70" spans="1:2" x14ac:dyDescent="0.35">
      <c r="A70" s="2">
        <v>6431621201</v>
      </c>
      <c r="B70" s="2" t="s">
        <v>252</v>
      </c>
    </row>
    <row r="71" spans="1:2" x14ac:dyDescent="0.35">
      <c r="A71" s="2">
        <v>7492088894</v>
      </c>
      <c r="B71" s="2" t="s">
        <v>252</v>
      </c>
    </row>
    <row r="72" spans="1:2" x14ac:dyDescent="0.35">
      <c r="A72" s="2">
        <v>9111914587</v>
      </c>
      <c r="B72" s="2" t="s">
        <v>293</v>
      </c>
    </row>
    <row r="73" spans="1:2" x14ac:dyDescent="0.35">
      <c r="A73" s="2">
        <v>9222695757</v>
      </c>
      <c r="B73" s="14" t="s">
        <v>252</v>
      </c>
    </row>
    <row r="74" spans="1:2" x14ac:dyDescent="0.35">
      <c r="A74" s="2">
        <v>6772450723</v>
      </c>
      <c r="B74" s="2" t="s">
        <v>251</v>
      </c>
    </row>
    <row r="75" spans="1:2" x14ac:dyDescent="0.35">
      <c r="A75" s="2">
        <v>6922315643</v>
      </c>
      <c r="B75" s="2" t="s">
        <v>251</v>
      </c>
    </row>
    <row r="76" spans="1:2" x14ac:dyDescent="0.35">
      <c r="A76" s="2">
        <v>8581700110</v>
      </c>
      <c r="B76" s="2" t="s">
        <v>251</v>
      </c>
    </row>
    <row r="77" spans="1:2" x14ac:dyDescent="0.35">
      <c r="A77" s="2">
        <v>9522076099</v>
      </c>
      <c r="B77" s="14" t="s">
        <v>251</v>
      </c>
    </row>
    <row r="78" spans="1:2" x14ac:dyDescent="0.35">
      <c r="A78" s="2">
        <v>5213782466</v>
      </c>
      <c r="B78" s="2" t="s">
        <v>250</v>
      </c>
    </row>
    <row r="79" spans="1:2" x14ac:dyDescent="0.35">
      <c r="A79" s="2">
        <v>6751504715</v>
      </c>
      <c r="B79" s="2" t="s">
        <v>250</v>
      </c>
    </row>
    <row r="80" spans="1:2" x14ac:dyDescent="0.35">
      <c r="A80" s="2">
        <v>9452222181</v>
      </c>
      <c r="B80" s="14" t="s">
        <v>250</v>
      </c>
    </row>
    <row r="81" spans="1:2" x14ac:dyDescent="0.35">
      <c r="A81" s="2">
        <v>5472200973</v>
      </c>
      <c r="B81" s="2" t="s">
        <v>249</v>
      </c>
    </row>
    <row r="82" spans="1:2" x14ac:dyDescent="0.35">
      <c r="A82" s="2">
        <v>7181974501</v>
      </c>
      <c r="B82" s="2" t="s">
        <v>249</v>
      </c>
    </row>
    <row r="83" spans="1:2" x14ac:dyDescent="0.35">
      <c r="A83" s="2">
        <v>7282799695</v>
      </c>
      <c r="B83" s="2" t="s">
        <v>249</v>
      </c>
    </row>
    <row r="84" spans="1:2" x14ac:dyDescent="0.35">
      <c r="A84" s="2">
        <v>7831848096</v>
      </c>
      <c r="B84" s="2" t="s">
        <v>249</v>
      </c>
    </row>
    <row r="85" spans="1:2" x14ac:dyDescent="0.35">
      <c r="A85" s="2">
        <v>9562304388</v>
      </c>
      <c r="B85" s="14" t="s">
        <v>249</v>
      </c>
    </row>
    <row r="86" spans="1:2" x14ac:dyDescent="0.35">
      <c r="A86" s="2">
        <v>9562304388</v>
      </c>
      <c r="B86" s="14" t="s">
        <v>249</v>
      </c>
    </row>
    <row r="87" spans="1:2" x14ac:dyDescent="0.35">
      <c r="A87" s="2">
        <v>9562304388</v>
      </c>
      <c r="B87" s="14" t="s">
        <v>249</v>
      </c>
    </row>
    <row r="88" spans="1:2" x14ac:dyDescent="0.35">
      <c r="A88" s="2">
        <v>9562304388</v>
      </c>
      <c r="B88" s="14" t="s">
        <v>249</v>
      </c>
    </row>
    <row r="89" spans="1:2" x14ac:dyDescent="0.35">
      <c r="A89" s="2">
        <v>9592055978</v>
      </c>
      <c r="B89" s="14" t="s">
        <v>249</v>
      </c>
    </row>
    <row r="90" spans="1:2" x14ac:dyDescent="0.35">
      <c r="A90" s="2">
        <v>6312382167</v>
      </c>
      <c r="B90" s="2" t="s">
        <v>248</v>
      </c>
    </row>
    <row r="91" spans="1:2" x14ac:dyDescent="0.35">
      <c r="A91" s="2">
        <v>6831994093</v>
      </c>
      <c r="B91" s="2" t="s">
        <v>248</v>
      </c>
    </row>
    <row r="92" spans="1:2" x14ac:dyDescent="0.35">
      <c r="A92" s="2">
        <v>9451974588</v>
      </c>
      <c r="B92" s="14" t="s">
        <v>248</v>
      </c>
    </row>
    <row r="93" spans="1:2" x14ac:dyDescent="0.35">
      <c r="A93" s="31">
        <v>9541509300</v>
      </c>
      <c r="B93" s="26" t="s">
        <v>248</v>
      </c>
    </row>
    <row r="94" spans="1:2" x14ac:dyDescent="0.35">
      <c r="A94" s="2">
        <v>8291579611</v>
      </c>
      <c r="B94" s="2" t="s">
        <v>247</v>
      </c>
    </row>
    <row r="95" spans="1:2" x14ac:dyDescent="0.35">
      <c r="A95" s="2">
        <v>9571075450</v>
      </c>
      <c r="B95" s="14" t="s">
        <v>247</v>
      </c>
    </row>
    <row r="96" spans="1:2" x14ac:dyDescent="0.35">
      <c r="A96" s="2">
        <v>9571075450</v>
      </c>
      <c r="B96" s="14" t="s">
        <v>247</v>
      </c>
    </row>
    <row r="97" spans="1:2" x14ac:dyDescent="0.35">
      <c r="A97" s="2">
        <v>5361922350</v>
      </c>
      <c r="B97" s="2" t="s">
        <v>246</v>
      </c>
    </row>
    <row r="98" spans="1:2" x14ac:dyDescent="0.35">
      <c r="A98" s="2">
        <v>5862245682</v>
      </c>
      <c r="B98" s="2" t="s">
        <v>246</v>
      </c>
    </row>
    <row r="99" spans="1:2" x14ac:dyDescent="0.35">
      <c r="A99" s="2">
        <v>7011016480</v>
      </c>
      <c r="B99" s="2" t="s">
        <v>246</v>
      </c>
    </row>
    <row r="100" spans="1:2" x14ac:dyDescent="0.35">
      <c r="A100" s="1">
        <v>8481718487</v>
      </c>
      <c r="B100" s="2" t="s">
        <v>246</v>
      </c>
    </row>
    <row r="101" spans="1:2" x14ac:dyDescent="0.35">
      <c r="A101" s="2">
        <v>8942722074</v>
      </c>
      <c r="B101" s="2" t="s">
        <v>246</v>
      </c>
    </row>
    <row r="102" spans="1:2" x14ac:dyDescent="0.35">
      <c r="A102" s="2">
        <v>8943144053</v>
      </c>
      <c r="B102" s="14" t="s">
        <v>246</v>
      </c>
    </row>
    <row r="103" spans="1:2" x14ac:dyDescent="0.35">
      <c r="A103" s="2">
        <v>5252350506</v>
      </c>
      <c r="B103" s="2" t="s">
        <v>245</v>
      </c>
    </row>
    <row r="104" spans="1:2" x14ac:dyDescent="0.35">
      <c r="A104" s="2">
        <v>5862324364</v>
      </c>
      <c r="B104" s="2" t="s">
        <v>245</v>
      </c>
    </row>
    <row r="105" spans="1:2" x14ac:dyDescent="0.35">
      <c r="A105" s="2">
        <v>7822550546</v>
      </c>
      <c r="B105" s="2" t="s">
        <v>245</v>
      </c>
    </row>
    <row r="106" spans="1:2" x14ac:dyDescent="0.35">
      <c r="A106" s="2">
        <v>8133791111</v>
      </c>
      <c r="B106" s="2" t="s">
        <v>245</v>
      </c>
    </row>
    <row r="107" spans="1:2" x14ac:dyDescent="0.35">
      <c r="A107" s="2" t="s">
        <v>54</v>
      </c>
      <c r="B107" s="14" t="s">
        <v>291</v>
      </c>
    </row>
    <row r="108" spans="1:2" x14ac:dyDescent="0.35">
      <c r="A108" s="2">
        <v>6612364481</v>
      </c>
      <c r="B108" s="2" t="s">
        <v>244</v>
      </c>
    </row>
    <row r="109" spans="1:2" x14ac:dyDescent="0.35">
      <c r="A109" s="2">
        <v>7712886908</v>
      </c>
      <c r="B109" s="2" t="s">
        <v>244</v>
      </c>
    </row>
    <row r="110" spans="1:2" x14ac:dyDescent="0.35">
      <c r="A110" s="2">
        <v>8133690835</v>
      </c>
      <c r="B110" s="2" t="s">
        <v>244</v>
      </c>
    </row>
    <row r="111" spans="1:2" x14ac:dyDescent="0.35">
      <c r="A111" s="2">
        <v>8722425285</v>
      </c>
      <c r="B111" s="2" t="s">
        <v>244</v>
      </c>
    </row>
    <row r="112" spans="1:2" x14ac:dyDescent="0.35">
      <c r="A112" s="2">
        <v>9552385043</v>
      </c>
      <c r="B112" s="14" t="s">
        <v>290</v>
      </c>
    </row>
    <row r="113" spans="1:2" x14ac:dyDescent="0.35">
      <c r="A113" s="2">
        <v>5223156256</v>
      </c>
      <c r="B113" s="2" t="s">
        <v>242</v>
      </c>
    </row>
    <row r="114" spans="1:2" x14ac:dyDescent="0.35">
      <c r="A114" s="2">
        <v>5272651441</v>
      </c>
      <c r="B114" s="2" t="s">
        <v>242</v>
      </c>
    </row>
    <row r="115" spans="1:2" x14ac:dyDescent="0.35">
      <c r="A115" s="2">
        <v>5993265550</v>
      </c>
      <c r="B115" s="2" t="s">
        <v>242</v>
      </c>
    </row>
    <row r="116" spans="1:2" x14ac:dyDescent="0.35">
      <c r="A116" s="2">
        <v>6793182802</v>
      </c>
      <c r="B116" s="2" t="s">
        <v>242</v>
      </c>
    </row>
    <row r="117" spans="1:2" x14ac:dyDescent="0.35">
      <c r="A117" s="31">
        <v>7811850291</v>
      </c>
      <c r="B117" s="2" t="s">
        <v>242</v>
      </c>
    </row>
    <row r="118" spans="1:2" x14ac:dyDescent="0.35">
      <c r="A118" s="2">
        <v>7822767033</v>
      </c>
      <c r="B118" s="2" t="s">
        <v>242</v>
      </c>
    </row>
    <row r="119" spans="1:2" x14ac:dyDescent="0.35">
      <c r="A119" s="2">
        <v>7822767033</v>
      </c>
      <c r="B119" s="2" t="s">
        <v>242</v>
      </c>
    </row>
    <row r="120" spans="1:2" x14ac:dyDescent="0.35">
      <c r="A120" s="2">
        <v>8942995292</v>
      </c>
      <c r="B120" s="2" t="s">
        <v>242</v>
      </c>
    </row>
    <row r="121" spans="1:2" x14ac:dyDescent="0.35">
      <c r="A121" s="2">
        <v>8971849110</v>
      </c>
      <c r="B121" s="2" t="s">
        <v>242</v>
      </c>
    </row>
    <row r="122" spans="1:2" x14ac:dyDescent="0.35">
      <c r="A122" s="2">
        <v>9570303587</v>
      </c>
      <c r="B122" s="14" t="s">
        <v>242</v>
      </c>
    </row>
    <row r="123" spans="1:2" x14ac:dyDescent="0.35">
      <c r="A123" s="2">
        <v>5423055755</v>
      </c>
      <c r="B123" s="2" t="s">
        <v>241</v>
      </c>
    </row>
    <row r="124" spans="1:2" x14ac:dyDescent="0.35">
      <c r="A124" s="2">
        <v>8943128568</v>
      </c>
      <c r="B124" s="2" t="s">
        <v>241</v>
      </c>
    </row>
    <row r="125" spans="1:2" x14ac:dyDescent="0.35">
      <c r="A125" s="2">
        <v>7792425870</v>
      </c>
      <c r="B125" s="2" t="s">
        <v>240</v>
      </c>
    </row>
    <row r="126" spans="1:2" x14ac:dyDescent="0.35">
      <c r="A126" s="2">
        <v>8942995292</v>
      </c>
      <c r="B126" s="2" t="s">
        <v>240</v>
      </c>
    </row>
    <row r="127" spans="1:2" x14ac:dyDescent="0.35">
      <c r="A127" s="2">
        <v>8943083506</v>
      </c>
      <c r="B127" s="2" t="s">
        <v>240</v>
      </c>
    </row>
    <row r="128" spans="1:2" x14ac:dyDescent="0.35">
      <c r="A128" s="2">
        <v>9512504004</v>
      </c>
      <c r="B128" s="14" t="s">
        <v>240</v>
      </c>
    </row>
    <row r="129" spans="1:2" x14ac:dyDescent="0.35">
      <c r="A129" s="31">
        <v>9562319912</v>
      </c>
      <c r="B129" s="14" t="s">
        <v>240</v>
      </c>
    </row>
    <row r="130" spans="1:2" x14ac:dyDescent="0.35">
      <c r="A130" s="2">
        <v>6772250007</v>
      </c>
      <c r="B130" s="2" t="s">
        <v>289</v>
      </c>
    </row>
    <row r="131" spans="1:2" x14ac:dyDescent="0.35">
      <c r="A131" s="2">
        <v>6791253691</v>
      </c>
      <c r="B131" s="2" t="s">
        <v>239</v>
      </c>
    </row>
    <row r="132" spans="1:2" x14ac:dyDescent="0.35">
      <c r="A132" s="2">
        <v>5251488680</v>
      </c>
      <c r="B132" s="2" t="s">
        <v>237</v>
      </c>
    </row>
    <row r="133" spans="1:2" x14ac:dyDescent="0.35">
      <c r="A133" s="2">
        <v>7010343001</v>
      </c>
      <c r="B133" s="2" t="s">
        <v>237</v>
      </c>
    </row>
    <row r="134" spans="1:2" x14ac:dyDescent="0.35">
      <c r="A134" s="2">
        <v>8361832306</v>
      </c>
      <c r="B134" s="2" t="s">
        <v>237</v>
      </c>
    </row>
    <row r="135" spans="1:2" x14ac:dyDescent="0.35">
      <c r="A135" s="2">
        <v>5223096548</v>
      </c>
      <c r="B135" s="2" t="s">
        <v>236</v>
      </c>
    </row>
    <row r="136" spans="1:2" x14ac:dyDescent="0.35">
      <c r="A136" s="2">
        <v>8992306076</v>
      </c>
      <c r="B136" s="14" t="s">
        <v>236</v>
      </c>
    </row>
    <row r="137" spans="1:2" x14ac:dyDescent="0.35">
      <c r="A137" s="2">
        <v>5213912615</v>
      </c>
      <c r="B137" s="2" t="s">
        <v>235</v>
      </c>
    </row>
    <row r="138" spans="1:2" x14ac:dyDescent="0.35">
      <c r="A138" s="2">
        <v>7121640630</v>
      </c>
      <c r="B138" s="2" t="s">
        <v>235</v>
      </c>
    </row>
    <row r="139" spans="1:2" x14ac:dyDescent="0.35">
      <c r="A139" s="2">
        <v>5252808164</v>
      </c>
      <c r="B139" s="2" t="s">
        <v>234</v>
      </c>
    </row>
    <row r="140" spans="1:2" x14ac:dyDescent="0.35">
      <c r="A140" s="2">
        <v>6482796979</v>
      </c>
      <c r="B140" s="2" t="s">
        <v>234</v>
      </c>
    </row>
    <row r="141" spans="1:2" x14ac:dyDescent="0.35">
      <c r="A141" s="2">
        <v>8982173923</v>
      </c>
      <c r="B141" s="14" t="s">
        <v>234</v>
      </c>
    </row>
    <row r="142" spans="1:2" x14ac:dyDescent="0.35">
      <c r="A142" s="27">
        <v>9522121948</v>
      </c>
      <c r="B142" s="22" t="s">
        <v>234</v>
      </c>
    </row>
    <row r="143" spans="1:2" x14ac:dyDescent="0.35">
      <c r="A143" s="2">
        <v>7812018749</v>
      </c>
      <c r="B143" s="2" t="s">
        <v>233</v>
      </c>
    </row>
    <row r="144" spans="1:2" x14ac:dyDescent="0.35">
      <c r="A144" s="2">
        <v>5213854438</v>
      </c>
      <c r="B144" s="2" t="s">
        <v>232</v>
      </c>
    </row>
    <row r="145" spans="1:2" x14ac:dyDescent="0.35">
      <c r="A145" s="2">
        <v>6772444728</v>
      </c>
      <c r="B145" s="2" t="s">
        <v>232</v>
      </c>
    </row>
    <row r="146" spans="1:2" x14ac:dyDescent="0.35">
      <c r="A146" s="2">
        <v>7122576845</v>
      </c>
      <c r="B146" s="2" t="s">
        <v>232</v>
      </c>
    </row>
    <row r="147" spans="1:2" x14ac:dyDescent="0.35">
      <c r="A147" s="2">
        <v>7272771778</v>
      </c>
      <c r="B147" s="2" t="s">
        <v>232</v>
      </c>
    </row>
    <row r="148" spans="1:2" x14ac:dyDescent="0.35">
      <c r="A148" s="2">
        <v>9512515321</v>
      </c>
      <c r="B148" s="14" t="s">
        <v>232</v>
      </c>
    </row>
    <row r="149" spans="1:2" x14ac:dyDescent="0.35">
      <c r="A149" s="2">
        <v>5262380182</v>
      </c>
      <c r="B149" s="2" t="s">
        <v>231</v>
      </c>
    </row>
    <row r="150" spans="1:2" x14ac:dyDescent="0.35">
      <c r="A150" s="2">
        <v>5213691717</v>
      </c>
      <c r="B150" s="2" t="s">
        <v>230</v>
      </c>
    </row>
    <row r="151" spans="1:2" x14ac:dyDescent="0.35">
      <c r="A151" s="2">
        <v>5422964757</v>
      </c>
      <c r="B151" s="2" t="s">
        <v>230</v>
      </c>
    </row>
    <row r="152" spans="1:2" x14ac:dyDescent="0.35">
      <c r="A152" s="2">
        <v>7182024061</v>
      </c>
      <c r="B152" s="2" t="s">
        <v>230</v>
      </c>
    </row>
    <row r="153" spans="1:2" x14ac:dyDescent="0.35">
      <c r="A153" s="2">
        <v>7773358902</v>
      </c>
      <c r="B153" s="2" t="s">
        <v>230</v>
      </c>
    </row>
    <row r="154" spans="1:2" x14ac:dyDescent="0.35">
      <c r="A154" s="2">
        <v>8762458977</v>
      </c>
      <c r="B154" s="2" t="s">
        <v>230</v>
      </c>
    </row>
    <row r="155" spans="1:2" x14ac:dyDescent="0.35">
      <c r="A155" s="2">
        <v>8811376536</v>
      </c>
      <c r="B155" s="2" t="s">
        <v>230</v>
      </c>
    </row>
    <row r="156" spans="1:2" x14ac:dyDescent="0.35">
      <c r="A156" s="2">
        <v>5671583830</v>
      </c>
      <c r="B156" s="2" t="s">
        <v>229</v>
      </c>
    </row>
    <row r="157" spans="1:2" x14ac:dyDescent="0.35">
      <c r="A157" s="2">
        <v>6922264302</v>
      </c>
      <c r="B157" s="2" t="s">
        <v>229</v>
      </c>
    </row>
    <row r="158" spans="1:2" x14ac:dyDescent="0.35">
      <c r="A158" s="2">
        <v>7921300143</v>
      </c>
      <c r="B158" s="2" t="s">
        <v>229</v>
      </c>
    </row>
    <row r="159" spans="1:2" x14ac:dyDescent="0.35">
      <c r="A159" s="2">
        <v>8992295444</v>
      </c>
      <c r="B159" s="14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EB88-E9E8-42EB-8CCE-315BE033B36C}">
  <dimension ref="A1:D159"/>
  <sheetViews>
    <sheetView topLeftCell="A123" workbookViewId="0">
      <selection activeCell="D147" sqref="D147"/>
    </sheetView>
  </sheetViews>
  <sheetFormatPr defaultRowHeight="15.5" x14ac:dyDescent="0.35"/>
  <cols>
    <col min="1" max="1" width="9.6640625" style="2" bestFit="1" customWidth="1"/>
    <col min="4" max="4" width="9.6640625" style="2" bestFit="1" customWidth="1"/>
  </cols>
  <sheetData>
    <row r="1" spans="1:4" x14ac:dyDescent="0.35">
      <c r="A1" s="2" t="s">
        <v>0</v>
      </c>
      <c r="D1" s="2" t="s">
        <v>0</v>
      </c>
    </row>
    <row r="2" spans="1:4" x14ac:dyDescent="0.35">
      <c r="A2" s="2">
        <v>1132457808</v>
      </c>
      <c r="D2" s="2">
        <v>1132457808</v>
      </c>
    </row>
    <row r="3" spans="1:4" x14ac:dyDescent="0.35">
      <c r="A3" s="2">
        <v>1132457808</v>
      </c>
      <c r="D3" s="14">
        <v>1132742696</v>
      </c>
    </row>
    <row r="4" spans="1:4" x14ac:dyDescent="0.35">
      <c r="A4" s="2">
        <v>1132457808</v>
      </c>
      <c r="D4" s="14">
        <v>1133042357</v>
      </c>
    </row>
    <row r="5" spans="1:4" x14ac:dyDescent="0.35">
      <c r="A5" s="2">
        <v>1132457808</v>
      </c>
      <c r="D5" s="2">
        <v>1181640926</v>
      </c>
    </row>
    <row r="6" spans="1:4" x14ac:dyDescent="0.35">
      <c r="A6" s="31">
        <v>1132457808</v>
      </c>
      <c r="D6" s="14">
        <v>5070094210</v>
      </c>
    </row>
    <row r="7" spans="1:4" x14ac:dyDescent="0.35">
      <c r="A7" s="14">
        <v>1132742696</v>
      </c>
      <c r="D7" s="2">
        <v>5213095056</v>
      </c>
    </row>
    <row r="8" spans="1:4" x14ac:dyDescent="0.35">
      <c r="A8" s="14">
        <v>1133042357</v>
      </c>
      <c r="D8" s="2">
        <v>5213691717</v>
      </c>
    </row>
    <row r="9" spans="1:4" x14ac:dyDescent="0.35">
      <c r="A9" s="2">
        <v>1181640926</v>
      </c>
      <c r="D9" s="2">
        <v>5213782466</v>
      </c>
    </row>
    <row r="10" spans="1:4" x14ac:dyDescent="0.35">
      <c r="A10" s="14">
        <v>5070094210</v>
      </c>
      <c r="D10" s="2">
        <v>5213854438</v>
      </c>
    </row>
    <row r="11" spans="1:4" x14ac:dyDescent="0.35">
      <c r="A11" s="2">
        <v>5213095056</v>
      </c>
      <c r="D11" s="2">
        <v>5213912615</v>
      </c>
    </row>
    <row r="12" spans="1:4" x14ac:dyDescent="0.35">
      <c r="A12" s="2">
        <v>5213691717</v>
      </c>
      <c r="D12" s="14">
        <v>5213976638</v>
      </c>
    </row>
    <row r="13" spans="1:4" x14ac:dyDescent="0.35">
      <c r="A13" s="2">
        <v>5213782466</v>
      </c>
      <c r="D13" s="14">
        <v>5213983383</v>
      </c>
    </row>
    <row r="14" spans="1:4" x14ac:dyDescent="0.35">
      <c r="A14" s="2">
        <v>5213854438</v>
      </c>
      <c r="D14" s="14">
        <v>5214038422</v>
      </c>
    </row>
    <row r="15" spans="1:4" x14ac:dyDescent="0.35">
      <c r="A15" s="2">
        <v>5213912615</v>
      </c>
      <c r="D15" s="2">
        <v>5222586517</v>
      </c>
    </row>
    <row r="16" spans="1:4" x14ac:dyDescent="0.35">
      <c r="A16" s="14">
        <v>5213976638</v>
      </c>
      <c r="D16" s="14">
        <v>5222928662</v>
      </c>
    </row>
    <row r="17" spans="1:4" x14ac:dyDescent="0.35">
      <c r="A17" s="14">
        <v>5213983383</v>
      </c>
      <c r="D17" s="2">
        <v>5222999260</v>
      </c>
    </row>
    <row r="18" spans="1:4" x14ac:dyDescent="0.35">
      <c r="A18" s="14">
        <v>5214038422</v>
      </c>
      <c r="D18" s="2">
        <v>5223096548</v>
      </c>
    </row>
    <row r="19" spans="1:4" x14ac:dyDescent="0.35">
      <c r="A19" s="2">
        <v>5222586517</v>
      </c>
      <c r="D19" s="2">
        <v>5223156256</v>
      </c>
    </row>
    <row r="20" spans="1:4" x14ac:dyDescent="0.35">
      <c r="A20" s="14">
        <v>5222928662</v>
      </c>
      <c r="D20" s="2">
        <v>5251488680</v>
      </c>
    </row>
    <row r="21" spans="1:4" x14ac:dyDescent="0.35">
      <c r="A21" s="2">
        <v>5222999260</v>
      </c>
      <c r="D21" s="2">
        <v>5252350506</v>
      </c>
    </row>
    <row r="22" spans="1:4" x14ac:dyDescent="0.35">
      <c r="A22" s="2">
        <v>5223096548</v>
      </c>
      <c r="D22" s="14">
        <v>5252615933</v>
      </c>
    </row>
    <row r="23" spans="1:4" x14ac:dyDescent="0.35">
      <c r="A23" s="2">
        <v>5223156256</v>
      </c>
      <c r="D23" s="14">
        <v>5252800889</v>
      </c>
    </row>
    <row r="24" spans="1:4" x14ac:dyDescent="0.35">
      <c r="A24" s="2">
        <v>5251488680</v>
      </c>
      <c r="D24" s="2">
        <v>5252808164</v>
      </c>
    </row>
    <row r="25" spans="1:4" x14ac:dyDescent="0.35">
      <c r="A25" s="2">
        <v>5252350506</v>
      </c>
      <c r="D25" s="2">
        <v>5262380182</v>
      </c>
    </row>
    <row r="26" spans="1:4" x14ac:dyDescent="0.35">
      <c r="A26" s="14">
        <v>5252615933</v>
      </c>
      <c r="D26" s="2">
        <v>5262813327</v>
      </c>
    </row>
    <row r="27" spans="1:4" x14ac:dyDescent="0.35">
      <c r="A27" s="14">
        <v>5252800889</v>
      </c>
      <c r="D27" s="14">
        <v>5272523080</v>
      </c>
    </row>
    <row r="28" spans="1:4" x14ac:dyDescent="0.35">
      <c r="A28" s="2">
        <v>5252808164</v>
      </c>
      <c r="D28" s="2">
        <v>5272651441</v>
      </c>
    </row>
    <row r="29" spans="1:4" x14ac:dyDescent="0.35">
      <c r="A29" s="2">
        <v>5262380182</v>
      </c>
      <c r="D29" s="14">
        <v>5321643282</v>
      </c>
    </row>
    <row r="30" spans="1:4" x14ac:dyDescent="0.35">
      <c r="A30" s="2">
        <v>5262813327</v>
      </c>
      <c r="D30" s="2">
        <v>5361922350</v>
      </c>
    </row>
    <row r="31" spans="1:4" x14ac:dyDescent="0.35">
      <c r="A31" s="14">
        <v>5272523080</v>
      </c>
      <c r="D31" s="2">
        <v>5422964757</v>
      </c>
    </row>
    <row r="32" spans="1:4" x14ac:dyDescent="0.35">
      <c r="A32" s="2">
        <v>5272651441</v>
      </c>
      <c r="D32" s="2">
        <v>5423055755</v>
      </c>
    </row>
    <row r="33" spans="1:4" x14ac:dyDescent="0.35">
      <c r="A33" s="14">
        <v>5321643282</v>
      </c>
      <c r="D33" s="2">
        <v>5472100071</v>
      </c>
    </row>
    <row r="34" spans="1:4" x14ac:dyDescent="0.35">
      <c r="A34" s="2">
        <v>5361922350</v>
      </c>
      <c r="D34" s="2">
        <v>5472200973</v>
      </c>
    </row>
    <row r="35" spans="1:4" x14ac:dyDescent="0.35">
      <c r="A35" s="2">
        <v>5422964757</v>
      </c>
      <c r="D35" s="14">
        <v>5542485321</v>
      </c>
    </row>
    <row r="36" spans="1:4" x14ac:dyDescent="0.35">
      <c r="A36" s="2">
        <v>5423055755</v>
      </c>
      <c r="D36" s="2">
        <v>5671583830</v>
      </c>
    </row>
    <row r="37" spans="1:4" x14ac:dyDescent="0.35">
      <c r="A37" s="2">
        <v>5472100071</v>
      </c>
      <c r="D37" s="2">
        <v>5840203541</v>
      </c>
    </row>
    <row r="38" spans="1:4" x14ac:dyDescent="0.35">
      <c r="A38" s="2">
        <v>5472200973</v>
      </c>
      <c r="D38" s="14">
        <v>5840358054</v>
      </c>
    </row>
    <row r="39" spans="1:4" x14ac:dyDescent="0.35">
      <c r="A39" s="14">
        <v>5542485321</v>
      </c>
      <c r="D39" s="2">
        <v>5862245682</v>
      </c>
    </row>
    <row r="40" spans="1:4" x14ac:dyDescent="0.35">
      <c r="A40" s="2">
        <v>5671583830</v>
      </c>
      <c r="D40" s="2">
        <v>5862324364</v>
      </c>
    </row>
    <row r="41" spans="1:4" x14ac:dyDescent="0.35">
      <c r="A41" s="2">
        <v>5840203541</v>
      </c>
      <c r="D41" s="2">
        <v>5993265550</v>
      </c>
    </row>
    <row r="42" spans="1:4" x14ac:dyDescent="0.35">
      <c r="A42" s="14">
        <v>5840358054</v>
      </c>
      <c r="D42" s="14">
        <v>6312291826</v>
      </c>
    </row>
    <row r="43" spans="1:4" x14ac:dyDescent="0.35">
      <c r="A43" s="2">
        <v>5862245682</v>
      </c>
      <c r="D43" s="2">
        <v>6312382167</v>
      </c>
    </row>
    <row r="44" spans="1:4" x14ac:dyDescent="0.35">
      <c r="A44" s="2">
        <v>5862324364</v>
      </c>
      <c r="D44" s="2">
        <v>6342823469</v>
      </c>
    </row>
    <row r="45" spans="1:4" x14ac:dyDescent="0.35">
      <c r="A45" s="2">
        <v>5993265550</v>
      </c>
      <c r="D45" s="2">
        <v>6342945468</v>
      </c>
    </row>
    <row r="46" spans="1:4" x14ac:dyDescent="0.35">
      <c r="A46" s="14">
        <v>6312291826</v>
      </c>
      <c r="D46" s="2">
        <v>6431621201</v>
      </c>
    </row>
    <row r="47" spans="1:4" x14ac:dyDescent="0.35">
      <c r="A47" s="2">
        <v>6312382167</v>
      </c>
      <c r="D47" s="14">
        <v>6443013625</v>
      </c>
    </row>
    <row r="48" spans="1:4" x14ac:dyDescent="0.35">
      <c r="A48" s="2">
        <v>6342823469</v>
      </c>
      <c r="D48" s="2">
        <v>6482796979</v>
      </c>
    </row>
    <row r="49" spans="1:4" x14ac:dyDescent="0.35">
      <c r="A49" s="2">
        <v>6342945468</v>
      </c>
      <c r="D49" s="14">
        <v>6571309828</v>
      </c>
    </row>
    <row r="50" spans="1:4" x14ac:dyDescent="0.35">
      <c r="A50" s="2">
        <v>6431621201</v>
      </c>
      <c r="D50" s="14">
        <v>6572922910</v>
      </c>
    </row>
    <row r="51" spans="1:4" x14ac:dyDescent="0.35">
      <c r="A51" s="14">
        <v>6443013625</v>
      </c>
      <c r="D51" s="2">
        <v>6612364481</v>
      </c>
    </row>
    <row r="52" spans="1:4" x14ac:dyDescent="0.35">
      <c r="A52" s="2">
        <v>6482796979</v>
      </c>
      <c r="D52" s="2">
        <v>6692304416</v>
      </c>
    </row>
    <row r="53" spans="1:4" x14ac:dyDescent="0.35">
      <c r="A53" s="14">
        <v>6571309828</v>
      </c>
      <c r="D53" s="2">
        <v>6731898059</v>
      </c>
    </row>
    <row r="54" spans="1:4" x14ac:dyDescent="0.35">
      <c r="A54" s="14">
        <v>6572922910</v>
      </c>
      <c r="D54" s="14">
        <v>6751209442</v>
      </c>
    </row>
    <row r="55" spans="1:4" x14ac:dyDescent="0.35">
      <c r="A55" s="2">
        <v>6612364481</v>
      </c>
      <c r="D55" s="2">
        <v>6751504715</v>
      </c>
    </row>
    <row r="56" spans="1:4" x14ac:dyDescent="0.35">
      <c r="A56" s="2">
        <v>6692304416</v>
      </c>
      <c r="D56" s="14">
        <v>6751694710</v>
      </c>
    </row>
    <row r="57" spans="1:4" x14ac:dyDescent="0.35">
      <c r="A57" s="2">
        <v>6731898059</v>
      </c>
      <c r="D57" s="2">
        <v>6760000150</v>
      </c>
    </row>
    <row r="58" spans="1:4" x14ac:dyDescent="0.35">
      <c r="A58" s="14">
        <v>6751209442</v>
      </c>
      <c r="D58" s="14">
        <v>6762484040</v>
      </c>
    </row>
    <row r="59" spans="1:4" x14ac:dyDescent="0.35">
      <c r="A59" s="14">
        <v>6751209442</v>
      </c>
      <c r="D59" s="2">
        <v>6772250007</v>
      </c>
    </row>
    <row r="60" spans="1:4" x14ac:dyDescent="0.35">
      <c r="A60" s="2">
        <v>6751504715</v>
      </c>
      <c r="D60" s="2">
        <v>6772444728</v>
      </c>
    </row>
    <row r="61" spans="1:4" x14ac:dyDescent="0.35">
      <c r="A61" s="14">
        <v>6751694710</v>
      </c>
      <c r="D61" s="2">
        <v>6772450723</v>
      </c>
    </row>
    <row r="62" spans="1:4" x14ac:dyDescent="0.35">
      <c r="A62" s="2">
        <v>6760000150</v>
      </c>
      <c r="D62" s="2">
        <v>6783144467</v>
      </c>
    </row>
    <row r="63" spans="1:4" x14ac:dyDescent="0.35">
      <c r="A63" s="14">
        <v>6762484040</v>
      </c>
      <c r="D63" s="2">
        <v>6791253691</v>
      </c>
    </row>
    <row r="64" spans="1:4" x14ac:dyDescent="0.35">
      <c r="A64" s="2">
        <v>6772250007</v>
      </c>
      <c r="D64" s="2">
        <v>6793182802</v>
      </c>
    </row>
    <row r="65" spans="1:4" x14ac:dyDescent="0.35">
      <c r="A65" s="2">
        <v>6772444728</v>
      </c>
      <c r="D65" s="2">
        <v>6831994093</v>
      </c>
    </row>
    <row r="66" spans="1:4" x14ac:dyDescent="0.35">
      <c r="A66" s="2">
        <v>6772450723</v>
      </c>
      <c r="D66" s="2">
        <v>6861691753</v>
      </c>
    </row>
    <row r="67" spans="1:4" x14ac:dyDescent="0.35">
      <c r="A67" s="2">
        <v>6783144467</v>
      </c>
      <c r="D67" s="2">
        <v>6922264302</v>
      </c>
    </row>
    <row r="68" spans="1:4" x14ac:dyDescent="0.35">
      <c r="A68" s="2">
        <v>6791253691</v>
      </c>
      <c r="D68" s="2">
        <v>6922315643</v>
      </c>
    </row>
    <row r="69" spans="1:4" x14ac:dyDescent="0.35">
      <c r="A69" s="2">
        <v>6793182802</v>
      </c>
      <c r="D69" s="2">
        <v>7010343001</v>
      </c>
    </row>
    <row r="70" spans="1:4" x14ac:dyDescent="0.35">
      <c r="A70" s="2">
        <v>6831994093</v>
      </c>
      <c r="D70" s="26">
        <v>7010819366</v>
      </c>
    </row>
    <row r="71" spans="1:4" x14ac:dyDescent="0.35">
      <c r="A71" s="2">
        <v>6861691753</v>
      </c>
      <c r="D71" s="2">
        <v>7011016480</v>
      </c>
    </row>
    <row r="72" spans="1:4" x14ac:dyDescent="0.35">
      <c r="A72" s="2">
        <v>6922264302</v>
      </c>
      <c r="D72" s="2">
        <v>7011106763</v>
      </c>
    </row>
    <row r="73" spans="1:4" x14ac:dyDescent="0.35">
      <c r="A73" s="2">
        <v>6922315643</v>
      </c>
      <c r="D73" s="2">
        <v>7121640630</v>
      </c>
    </row>
    <row r="74" spans="1:4" x14ac:dyDescent="0.35">
      <c r="A74" s="2">
        <v>7010343001</v>
      </c>
      <c r="D74" s="2">
        <v>7122576845</v>
      </c>
    </row>
    <row r="75" spans="1:4" x14ac:dyDescent="0.35">
      <c r="A75" s="26">
        <v>7010819366</v>
      </c>
      <c r="D75" s="2">
        <v>7123480633</v>
      </c>
    </row>
    <row r="76" spans="1:4" x14ac:dyDescent="0.35">
      <c r="A76" s="2">
        <v>7011016480</v>
      </c>
      <c r="D76" s="2">
        <v>7181974501</v>
      </c>
    </row>
    <row r="77" spans="1:4" x14ac:dyDescent="0.35">
      <c r="A77" s="2">
        <v>7011106763</v>
      </c>
      <c r="D77" s="2">
        <v>7182024061</v>
      </c>
    </row>
    <row r="78" spans="1:4" x14ac:dyDescent="0.35">
      <c r="A78" s="2">
        <v>7121640630</v>
      </c>
      <c r="D78" s="2">
        <v>7262648898</v>
      </c>
    </row>
    <row r="79" spans="1:4" x14ac:dyDescent="0.35">
      <c r="A79" s="2">
        <v>7122576845</v>
      </c>
      <c r="D79" s="2">
        <v>7272771778</v>
      </c>
    </row>
    <row r="80" spans="1:4" x14ac:dyDescent="0.35">
      <c r="A80" s="2">
        <v>7123480633</v>
      </c>
      <c r="D80" s="2">
        <v>7282799695</v>
      </c>
    </row>
    <row r="81" spans="1:4" x14ac:dyDescent="0.35">
      <c r="A81" s="2">
        <v>7181974501</v>
      </c>
      <c r="D81" s="2">
        <v>7492088894</v>
      </c>
    </row>
    <row r="82" spans="1:4" x14ac:dyDescent="0.35">
      <c r="A82" s="2">
        <v>7182024061</v>
      </c>
      <c r="D82" s="2">
        <v>7712886908</v>
      </c>
    </row>
    <row r="83" spans="1:4" x14ac:dyDescent="0.35">
      <c r="A83" s="2">
        <v>7262648898</v>
      </c>
      <c r="D83" s="2">
        <v>7773358902</v>
      </c>
    </row>
    <row r="84" spans="1:4" x14ac:dyDescent="0.35">
      <c r="A84" s="2">
        <v>7272771778</v>
      </c>
      <c r="D84" s="2">
        <v>7792008244</v>
      </c>
    </row>
    <row r="85" spans="1:4" x14ac:dyDescent="0.35">
      <c r="A85" s="2">
        <v>7282799695</v>
      </c>
      <c r="D85" s="2">
        <v>7792425870</v>
      </c>
    </row>
    <row r="86" spans="1:4" x14ac:dyDescent="0.35">
      <c r="A86" s="2">
        <v>7492088894</v>
      </c>
      <c r="D86" s="31">
        <v>7811850291</v>
      </c>
    </row>
    <row r="87" spans="1:4" x14ac:dyDescent="0.35">
      <c r="A87" s="2">
        <v>7712886908</v>
      </c>
      <c r="D87" s="2">
        <v>7812018749</v>
      </c>
    </row>
    <row r="88" spans="1:4" x14ac:dyDescent="0.35">
      <c r="A88" s="2">
        <v>7773358902</v>
      </c>
      <c r="D88" s="2">
        <v>7822550546</v>
      </c>
    </row>
    <row r="89" spans="1:4" x14ac:dyDescent="0.35">
      <c r="A89" s="2">
        <v>7792008244</v>
      </c>
      <c r="D89" s="2">
        <v>7822767033</v>
      </c>
    </row>
    <row r="90" spans="1:4" x14ac:dyDescent="0.35">
      <c r="A90" s="2">
        <v>7792425870</v>
      </c>
      <c r="D90" s="2">
        <v>7831848096</v>
      </c>
    </row>
    <row r="91" spans="1:4" x14ac:dyDescent="0.35">
      <c r="A91" s="31">
        <v>7811850291</v>
      </c>
      <c r="D91" s="14">
        <v>7831850472</v>
      </c>
    </row>
    <row r="92" spans="1:4" x14ac:dyDescent="0.35">
      <c r="A92" s="2">
        <v>7812018749</v>
      </c>
      <c r="D92" s="2">
        <v>7921300143</v>
      </c>
    </row>
    <row r="93" spans="1:4" x14ac:dyDescent="0.35">
      <c r="A93" s="2">
        <v>7822550546</v>
      </c>
      <c r="D93" s="2">
        <v>8133690835</v>
      </c>
    </row>
    <row r="94" spans="1:4" x14ac:dyDescent="0.35">
      <c r="A94" s="2">
        <v>7822767033</v>
      </c>
      <c r="D94" s="2">
        <v>8133791111</v>
      </c>
    </row>
    <row r="95" spans="1:4" x14ac:dyDescent="0.35">
      <c r="A95" s="2">
        <v>7822767033</v>
      </c>
      <c r="D95" s="14">
        <v>8291543085</v>
      </c>
    </row>
    <row r="96" spans="1:4" x14ac:dyDescent="0.35">
      <c r="A96" s="2">
        <v>7831848096</v>
      </c>
      <c r="D96" s="2">
        <v>8291579611</v>
      </c>
    </row>
    <row r="97" spans="1:4" x14ac:dyDescent="0.35">
      <c r="A97" s="14">
        <v>7831850472</v>
      </c>
      <c r="D97" s="2">
        <v>8361832306</v>
      </c>
    </row>
    <row r="98" spans="1:4" x14ac:dyDescent="0.35">
      <c r="A98" s="2">
        <v>7921300143</v>
      </c>
      <c r="D98" s="2">
        <v>8371638959</v>
      </c>
    </row>
    <row r="99" spans="1:4" x14ac:dyDescent="0.35">
      <c r="A99" s="2">
        <v>8133690835</v>
      </c>
      <c r="D99" s="2">
        <v>8381031650</v>
      </c>
    </row>
    <row r="100" spans="1:4" x14ac:dyDescent="0.35">
      <c r="A100" s="2">
        <v>8133791111</v>
      </c>
      <c r="D100" s="1">
        <v>8481718487</v>
      </c>
    </row>
    <row r="101" spans="1:4" x14ac:dyDescent="0.35">
      <c r="A101" s="14">
        <v>8291543085</v>
      </c>
      <c r="D101" s="14">
        <v>8512074804</v>
      </c>
    </row>
    <row r="102" spans="1:4" x14ac:dyDescent="0.35">
      <c r="A102" s="2">
        <v>8291579611</v>
      </c>
      <c r="D102" s="14">
        <v>8513208336</v>
      </c>
    </row>
    <row r="103" spans="1:4" x14ac:dyDescent="0.35">
      <c r="A103" s="2">
        <v>8361832306</v>
      </c>
      <c r="D103" s="14">
        <v>8521777215</v>
      </c>
    </row>
    <row r="104" spans="1:4" x14ac:dyDescent="0.35">
      <c r="A104" s="2">
        <v>8371638959</v>
      </c>
      <c r="D104" s="2">
        <v>8581700110</v>
      </c>
    </row>
    <row r="105" spans="1:4" x14ac:dyDescent="0.35">
      <c r="A105" s="2">
        <v>8381031650</v>
      </c>
      <c r="D105" s="2">
        <v>8722425285</v>
      </c>
    </row>
    <row r="106" spans="1:4" x14ac:dyDescent="0.35">
      <c r="A106" s="1">
        <v>8481718487</v>
      </c>
      <c r="D106" s="2">
        <v>8762458977</v>
      </c>
    </row>
    <row r="107" spans="1:4" x14ac:dyDescent="0.35">
      <c r="A107" s="14">
        <v>8512074804</v>
      </c>
      <c r="D107" s="2">
        <v>8811376536</v>
      </c>
    </row>
    <row r="108" spans="1:4" x14ac:dyDescent="0.35">
      <c r="A108" s="14">
        <v>8513208336</v>
      </c>
      <c r="D108" s="2">
        <v>8942722074</v>
      </c>
    </row>
    <row r="109" spans="1:4" x14ac:dyDescent="0.35">
      <c r="A109" s="14">
        <v>8521777215</v>
      </c>
      <c r="D109" s="2">
        <v>8942995292</v>
      </c>
    </row>
    <row r="110" spans="1:4" x14ac:dyDescent="0.35">
      <c r="A110" s="2">
        <v>8581700110</v>
      </c>
      <c r="D110" s="2">
        <v>8943083506</v>
      </c>
    </row>
    <row r="111" spans="1:4" x14ac:dyDescent="0.35">
      <c r="A111" s="2">
        <v>8722425285</v>
      </c>
      <c r="D111" s="2">
        <v>8943128568</v>
      </c>
    </row>
    <row r="112" spans="1:4" x14ac:dyDescent="0.35">
      <c r="A112" s="2">
        <v>8762458977</v>
      </c>
      <c r="D112" s="2">
        <v>8943144053</v>
      </c>
    </row>
    <row r="113" spans="1:4" x14ac:dyDescent="0.35">
      <c r="A113" s="2">
        <v>8811376536</v>
      </c>
      <c r="D113" s="14">
        <v>8952237825</v>
      </c>
    </row>
    <row r="114" spans="1:4" x14ac:dyDescent="0.35">
      <c r="A114" s="2">
        <v>8942722074</v>
      </c>
      <c r="D114" s="2">
        <v>8971849110</v>
      </c>
    </row>
    <row r="115" spans="1:4" x14ac:dyDescent="0.35">
      <c r="A115" s="2">
        <v>8942995292</v>
      </c>
      <c r="D115" s="2">
        <v>8982173923</v>
      </c>
    </row>
    <row r="116" spans="1:4" x14ac:dyDescent="0.35">
      <c r="A116" s="2">
        <v>8942995292</v>
      </c>
      <c r="D116" s="2">
        <v>8992295444</v>
      </c>
    </row>
    <row r="117" spans="1:4" x14ac:dyDescent="0.35">
      <c r="A117" s="2">
        <v>8943083506</v>
      </c>
      <c r="D117" s="2">
        <v>8992306076</v>
      </c>
    </row>
    <row r="118" spans="1:4" x14ac:dyDescent="0.35">
      <c r="A118" s="2">
        <v>8943128568</v>
      </c>
      <c r="D118" s="14">
        <v>8992770431</v>
      </c>
    </row>
    <row r="119" spans="1:4" x14ac:dyDescent="0.35">
      <c r="A119" s="2">
        <v>8943144053</v>
      </c>
      <c r="D119" s="14">
        <v>8992866645</v>
      </c>
    </row>
    <row r="120" spans="1:4" x14ac:dyDescent="0.35">
      <c r="A120" s="14">
        <v>8952237825</v>
      </c>
      <c r="D120" s="2">
        <v>9111914587</v>
      </c>
    </row>
    <row r="121" spans="1:4" x14ac:dyDescent="0.35">
      <c r="A121" s="2">
        <v>8971849110</v>
      </c>
      <c r="D121" s="2">
        <v>9141566659</v>
      </c>
    </row>
    <row r="122" spans="1:4" x14ac:dyDescent="0.35">
      <c r="A122" s="2">
        <v>8982173923</v>
      </c>
      <c r="D122" s="2">
        <v>9222695757</v>
      </c>
    </row>
    <row r="123" spans="1:4" x14ac:dyDescent="0.35">
      <c r="A123" s="2">
        <v>8992295444</v>
      </c>
      <c r="D123" s="2">
        <v>9451974588</v>
      </c>
    </row>
    <row r="124" spans="1:4" x14ac:dyDescent="0.35">
      <c r="A124" s="2">
        <v>8992306076</v>
      </c>
      <c r="D124" s="2">
        <v>9452222181</v>
      </c>
    </row>
    <row r="125" spans="1:4" x14ac:dyDescent="0.35">
      <c r="A125" s="14">
        <v>8992770431</v>
      </c>
      <c r="D125" s="2">
        <v>9462662763</v>
      </c>
    </row>
    <row r="126" spans="1:4" x14ac:dyDescent="0.35">
      <c r="A126" s="14">
        <v>8992866645</v>
      </c>
      <c r="D126" s="14">
        <v>9512470819</v>
      </c>
    </row>
    <row r="127" spans="1:4" x14ac:dyDescent="0.35">
      <c r="A127" s="2">
        <v>9111914587</v>
      </c>
      <c r="D127" s="2">
        <v>9512504004</v>
      </c>
    </row>
    <row r="128" spans="1:4" x14ac:dyDescent="0.35">
      <c r="A128" s="2">
        <v>9141566659</v>
      </c>
      <c r="D128" s="14">
        <v>9512515114</v>
      </c>
    </row>
    <row r="129" spans="1:4" x14ac:dyDescent="0.35">
      <c r="A129" s="2">
        <v>9222695757</v>
      </c>
      <c r="D129" s="2">
        <v>9512515321</v>
      </c>
    </row>
    <row r="130" spans="1:4" x14ac:dyDescent="0.35">
      <c r="A130" s="2">
        <v>9451974588</v>
      </c>
      <c r="D130" s="14">
        <v>9520002091</v>
      </c>
    </row>
    <row r="131" spans="1:4" x14ac:dyDescent="0.35">
      <c r="A131" s="2">
        <v>9452222181</v>
      </c>
      <c r="D131" s="14">
        <v>9521356916</v>
      </c>
    </row>
    <row r="132" spans="1:4" x14ac:dyDescent="0.35">
      <c r="A132" s="2">
        <v>9462662763</v>
      </c>
      <c r="D132" s="2">
        <v>9522076099</v>
      </c>
    </row>
    <row r="133" spans="1:4" x14ac:dyDescent="0.35">
      <c r="A133" s="2">
        <v>9462662763</v>
      </c>
      <c r="D133" s="2">
        <v>9522121948</v>
      </c>
    </row>
    <row r="134" spans="1:4" x14ac:dyDescent="0.35">
      <c r="A134" s="14">
        <v>9512470819</v>
      </c>
      <c r="D134" s="31">
        <v>9541509300</v>
      </c>
    </row>
    <row r="135" spans="1:4" x14ac:dyDescent="0.35">
      <c r="A135" s="2">
        <v>9512504004</v>
      </c>
      <c r="D135" s="14">
        <v>9552376162</v>
      </c>
    </row>
    <row r="136" spans="1:4" x14ac:dyDescent="0.35">
      <c r="A136" s="14">
        <v>9512515114</v>
      </c>
      <c r="D136" s="2">
        <v>9552385043</v>
      </c>
    </row>
    <row r="137" spans="1:4" x14ac:dyDescent="0.35">
      <c r="A137" s="2">
        <v>9512515321</v>
      </c>
      <c r="D137" s="2">
        <v>9562304388</v>
      </c>
    </row>
    <row r="138" spans="1:4" x14ac:dyDescent="0.35">
      <c r="A138" s="14">
        <v>9520002091</v>
      </c>
      <c r="D138" s="31">
        <v>9562319912</v>
      </c>
    </row>
    <row r="139" spans="1:4" x14ac:dyDescent="0.35">
      <c r="A139" s="14">
        <v>9521356916</v>
      </c>
      <c r="D139" s="2">
        <v>9570303587</v>
      </c>
    </row>
    <row r="140" spans="1:4" x14ac:dyDescent="0.35">
      <c r="A140" s="2">
        <v>9522076099</v>
      </c>
      <c r="D140" s="2">
        <v>9571075450</v>
      </c>
    </row>
    <row r="141" spans="1:4" x14ac:dyDescent="0.35">
      <c r="A141" s="2">
        <v>9522121948</v>
      </c>
      <c r="D141" s="14">
        <v>9571078158</v>
      </c>
    </row>
    <row r="142" spans="1:4" x14ac:dyDescent="0.35">
      <c r="A142" s="27">
        <v>9541509300</v>
      </c>
      <c r="D142" s="21">
        <v>9571120216</v>
      </c>
    </row>
    <row r="143" spans="1:4" x14ac:dyDescent="0.35">
      <c r="A143" s="14">
        <v>9552376162</v>
      </c>
      <c r="D143" s="2">
        <v>9592055978</v>
      </c>
    </row>
    <row r="144" spans="1:4" x14ac:dyDescent="0.35">
      <c r="A144" s="2">
        <v>9552385043</v>
      </c>
      <c r="D144" s="14">
        <v>9691227253</v>
      </c>
    </row>
    <row r="145" spans="1:4" x14ac:dyDescent="0.35">
      <c r="A145" s="2">
        <v>9562304388</v>
      </c>
      <c r="D145" s="2">
        <v>9721190768</v>
      </c>
    </row>
    <row r="146" spans="1:4" x14ac:dyDescent="0.35">
      <c r="A146" s="2">
        <v>9562304388</v>
      </c>
      <c r="D146" s="14">
        <v>9950043000</v>
      </c>
    </row>
    <row r="147" spans="1:4" x14ac:dyDescent="0.35">
      <c r="A147" s="2">
        <v>9562304388</v>
      </c>
      <c r="D147" s="2" t="s">
        <v>54</v>
      </c>
    </row>
    <row r="148" spans="1:4" x14ac:dyDescent="0.35">
      <c r="A148" s="2">
        <v>9562304388</v>
      </c>
      <c r="D148"/>
    </row>
    <row r="149" spans="1:4" x14ac:dyDescent="0.35">
      <c r="A149" s="31">
        <v>9562319912</v>
      </c>
      <c r="D149"/>
    </row>
    <row r="150" spans="1:4" x14ac:dyDescent="0.35">
      <c r="A150" s="2">
        <v>9570303587</v>
      </c>
      <c r="D150"/>
    </row>
    <row r="151" spans="1:4" x14ac:dyDescent="0.35">
      <c r="A151" s="2">
        <v>9571075450</v>
      </c>
      <c r="D151"/>
    </row>
    <row r="152" spans="1:4" x14ac:dyDescent="0.35">
      <c r="A152" s="2">
        <v>9571075450</v>
      </c>
      <c r="D152"/>
    </row>
    <row r="153" spans="1:4" x14ac:dyDescent="0.35">
      <c r="A153" s="14">
        <v>9571078158</v>
      </c>
      <c r="D153"/>
    </row>
    <row r="154" spans="1:4" x14ac:dyDescent="0.35">
      <c r="A154" s="14">
        <v>9571120216</v>
      </c>
      <c r="D154"/>
    </row>
    <row r="155" spans="1:4" x14ac:dyDescent="0.35">
      <c r="A155" s="2">
        <v>9592055978</v>
      </c>
      <c r="D155"/>
    </row>
    <row r="156" spans="1:4" x14ac:dyDescent="0.35">
      <c r="A156" s="14">
        <v>9691227253</v>
      </c>
      <c r="D156"/>
    </row>
    <row r="157" spans="1:4" x14ac:dyDescent="0.35">
      <c r="A157" s="2">
        <v>9721190768</v>
      </c>
      <c r="D157"/>
    </row>
    <row r="158" spans="1:4" x14ac:dyDescent="0.35">
      <c r="A158" s="14">
        <v>9950043000</v>
      </c>
      <c r="D158"/>
    </row>
    <row r="159" spans="1:4" x14ac:dyDescent="0.35">
      <c r="A159" s="2" t="s">
        <v>54</v>
      </c>
      <c r="D1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E4C8-09E8-4272-8A08-917FAF778779}">
  <dimension ref="B2:C162"/>
  <sheetViews>
    <sheetView workbookViewId="0"/>
  </sheetViews>
  <sheetFormatPr defaultRowHeight="15.5" x14ac:dyDescent="0.35"/>
  <sheetData>
    <row r="2" spans="2:3" x14ac:dyDescent="0.35">
      <c r="B2" s="42" t="s">
        <v>277</v>
      </c>
    </row>
    <row r="3" spans="2:3" x14ac:dyDescent="0.35">
      <c r="B3" s="43" t="s">
        <v>278</v>
      </c>
    </row>
    <row r="4" spans="2:3" x14ac:dyDescent="0.35">
      <c r="B4" s="43"/>
    </row>
    <row r="6" spans="2:3" x14ac:dyDescent="0.35">
      <c r="C6" t="s">
        <v>279</v>
      </c>
    </row>
    <row r="7" spans="2:3" x14ac:dyDescent="0.35">
      <c r="C7" s="44">
        <v>1132457808</v>
      </c>
    </row>
    <row r="8" spans="2:3" x14ac:dyDescent="0.35">
      <c r="C8" s="44">
        <v>1132457808</v>
      </c>
    </row>
    <row r="9" spans="2:3" x14ac:dyDescent="0.35">
      <c r="C9" s="44">
        <v>1132457808</v>
      </c>
    </row>
    <row r="10" spans="2:3" x14ac:dyDescent="0.35">
      <c r="C10" s="44">
        <v>1132742696</v>
      </c>
    </row>
    <row r="11" spans="2:3" x14ac:dyDescent="0.35">
      <c r="C11" s="44">
        <v>1133042357</v>
      </c>
    </row>
    <row r="12" spans="2:3" x14ac:dyDescent="0.35">
      <c r="C12" s="44">
        <v>1181640926</v>
      </c>
    </row>
    <row r="13" spans="2:3" x14ac:dyDescent="0.35">
      <c r="C13" s="44">
        <v>5070094210</v>
      </c>
    </row>
    <row r="14" spans="2:3" x14ac:dyDescent="0.35">
      <c r="C14" s="44">
        <v>5213095056</v>
      </c>
    </row>
    <row r="15" spans="2:3" x14ac:dyDescent="0.35">
      <c r="C15" s="44">
        <v>5213691717</v>
      </c>
    </row>
    <row r="16" spans="2:3" x14ac:dyDescent="0.35">
      <c r="C16" s="44">
        <v>5213782466</v>
      </c>
    </row>
    <row r="17" spans="3:3" x14ac:dyDescent="0.35">
      <c r="C17" s="44">
        <v>5213854438</v>
      </c>
    </row>
    <row r="18" spans="3:3" x14ac:dyDescent="0.35">
      <c r="C18" s="44">
        <v>5213912615</v>
      </c>
    </row>
    <row r="19" spans="3:3" x14ac:dyDescent="0.35">
      <c r="C19" s="44">
        <v>5213976638</v>
      </c>
    </row>
    <row r="20" spans="3:3" x14ac:dyDescent="0.35">
      <c r="C20" s="44">
        <v>5213983383</v>
      </c>
    </row>
    <row r="21" spans="3:3" x14ac:dyDescent="0.35">
      <c r="C21" s="44">
        <v>5214038422</v>
      </c>
    </row>
    <row r="22" spans="3:3" x14ac:dyDescent="0.35">
      <c r="C22" s="44">
        <v>5222586517</v>
      </c>
    </row>
    <row r="23" spans="3:3" x14ac:dyDescent="0.35">
      <c r="C23" s="44">
        <v>5222928662</v>
      </c>
    </row>
    <row r="24" spans="3:3" x14ac:dyDescent="0.35">
      <c r="C24" s="44">
        <v>5222999260</v>
      </c>
    </row>
    <row r="25" spans="3:3" x14ac:dyDescent="0.35">
      <c r="C25" s="44">
        <v>5223096548</v>
      </c>
    </row>
    <row r="26" spans="3:3" x14ac:dyDescent="0.35">
      <c r="C26" s="44">
        <v>5223156256</v>
      </c>
    </row>
    <row r="27" spans="3:3" x14ac:dyDescent="0.35">
      <c r="C27" s="44">
        <v>5251488680</v>
      </c>
    </row>
    <row r="28" spans="3:3" x14ac:dyDescent="0.35">
      <c r="C28" s="44">
        <v>5252350506</v>
      </c>
    </row>
    <row r="29" spans="3:3" x14ac:dyDescent="0.35">
      <c r="C29" s="44">
        <v>5252615933</v>
      </c>
    </row>
    <row r="30" spans="3:3" x14ac:dyDescent="0.35">
      <c r="C30" s="44">
        <v>5252800889</v>
      </c>
    </row>
    <row r="31" spans="3:3" x14ac:dyDescent="0.35">
      <c r="C31" s="44">
        <v>5252808164</v>
      </c>
    </row>
    <row r="32" spans="3:3" x14ac:dyDescent="0.35">
      <c r="C32" s="44">
        <v>5262380182</v>
      </c>
    </row>
    <row r="33" spans="3:3" x14ac:dyDescent="0.35">
      <c r="C33" s="44">
        <v>5262813327</v>
      </c>
    </row>
    <row r="34" spans="3:3" x14ac:dyDescent="0.35">
      <c r="C34" s="44">
        <v>5272523080</v>
      </c>
    </row>
    <row r="35" spans="3:3" x14ac:dyDescent="0.35">
      <c r="C35" s="44">
        <v>5272651441</v>
      </c>
    </row>
    <row r="36" spans="3:3" x14ac:dyDescent="0.35">
      <c r="C36" s="44">
        <v>5321643282</v>
      </c>
    </row>
    <row r="37" spans="3:3" x14ac:dyDescent="0.35">
      <c r="C37" s="44">
        <v>5361922350</v>
      </c>
    </row>
    <row r="38" spans="3:3" x14ac:dyDescent="0.35">
      <c r="C38" s="44">
        <v>5422964757</v>
      </c>
    </row>
    <row r="39" spans="3:3" x14ac:dyDescent="0.35">
      <c r="C39" s="44">
        <v>5423055755</v>
      </c>
    </row>
    <row r="40" spans="3:3" x14ac:dyDescent="0.35">
      <c r="C40" s="44">
        <v>5472100071</v>
      </c>
    </row>
    <row r="41" spans="3:3" x14ac:dyDescent="0.35">
      <c r="C41" s="44">
        <v>5472200973</v>
      </c>
    </row>
    <row r="42" spans="3:3" x14ac:dyDescent="0.35">
      <c r="C42" s="44">
        <v>5542485321</v>
      </c>
    </row>
    <row r="43" spans="3:3" x14ac:dyDescent="0.35">
      <c r="C43" s="44">
        <v>5671583830</v>
      </c>
    </row>
    <row r="44" spans="3:3" x14ac:dyDescent="0.35">
      <c r="C44" s="44">
        <v>5840203541</v>
      </c>
    </row>
    <row r="45" spans="3:3" x14ac:dyDescent="0.35">
      <c r="C45" s="44">
        <v>5840358054</v>
      </c>
    </row>
    <row r="46" spans="3:3" x14ac:dyDescent="0.35">
      <c r="C46" s="44">
        <v>5862245682</v>
      </c>
    </row>
    <row r="47" spans="3:3" x14ac:dyDescent="0.35">
      <c r="C47" s="44">
        <v>5862324364</v>
      </c>
    </row>
    <row r="48" spans="3:3" x14ac:dyDescent="0.35">
      <c r="C48" s="44">
        <v>5993265550</v>
      </c>
    </row>
    <row r="49" spans="3:3" x14ac:dyDescent="0.35">
      <c r="C49" s="44">
        <v>6312291826</v>
      </c>
    </row>
    <row r="50" spans="3:3" x14ac:dyDescent="0.35">
      <c r="C50" s="44">
        <v>6312382167</v>
      </c>
    </row>
    <row r="51" spans="3:3" x14ac:dyDescent="0.35">
      <c r="C51" s="44">
        <v>6342823469</v>
      </c>
    </row>
    <row r="52" spans="3:3" x14ac:dyDescent="0.35">
      <c r="C52" s="44">
        <v>6342945468</v>
      </c>
    </row>
    <row r="53" spans="3:3" x14ac:dyDescent="0.35">
      <c r="C53" s="44">
        <v>6431621201</v>
      </c>
    </row>
    <row r="54" spans="3:3" x14ac:dyDescent="0.35">
      <c r="C54" s="44">
        <v>6443013625</v>
      </c>
    </row>
    <row r="55" spans="3:3" x14ac:dyDescent="0.35">
      <c r="C55" s="44">
        <v>6482796979</v>
      </c>
    </row>
    <row r="56" spans="3:3" x14ac:dyDescent="0.35">
      <c r="C56" s="44">
        <v>6571309828</v>
      </c>
    </row>
    <row r="57" spans="3:3" x14ac:dyDescent="0.35">
      <c r="C57" s="44">
        <v>6572922910</v>
      </c>
    </row>
    <row r="58" spans="3:3" x14ac:dyDescent="0.35">
      <c r="C58" s="44">
        <v>6612364481</v>
      </c>
    </row>
    <row r="59" spans="3:3" x14ac:dyDescent="0.35">
      <c r="C59" s="44">
        <v>6692304416</v>
      </c>
    </row>
    <row r="60" spans="3:3" x14ac:dyDescent="0.35">
      <c r="C60" s="44">
        <v>6731898059</v>
      </c>
    </row>
    <row r="61" spans="3:3" x14ac:dyDescent="0.35">
      <c r="C61" s="44">
        <v>6751209442</v>
      </c>
    </row>
    <row r="62" spans="3:3" x14ac:dyDescent="0.35">
      <c r="C62" s="44">
        <v>6751209442</v>
      </c>
    </row>
    <row r="63" spans="3:3" x14ac:dyDescent="0.35">
      <c r="C63" s="44">
        <v>6751504715</v>
      </c>
    </row>
    <row r="64" spans="3:3" x14ac:dyDescent="0.35">
      <c r="C64" s="44">
        <v>6751694710</v>
      </c>
    </row>
    <row r="65" spans="3:3" x14ac:dyDescent="0.35">
      <c r="C65" s="44">
        <v>6760000150</v>
      </c>
    </row>
    <row r="66" spans="3:3" x14ac:dyDescent="0.35">
      <c r="C66" s="44">
        <v>6762484040</v>
      </c>
    </row>
    <row r="67" spans="3:3" x14ac:dyDescent="0.35">
      <c r="C67" s="44">
        <v>6772250007</v>
      </c>
    </row>
    <row r="68" spans="3:3" x14ac:dyDescent="0.35">
      <c r="C68" s="44">
        <v>6772444728</v>
      </c>
    </row>
    <row r="69" spans="3:3" x14ac:dyDescent="0.35">
      <c r="C69" s="44">
        <v>6772450723</v>
      </c>
    </row>
    <row r="70" spans="3:3" x14ac:dyDescent="0.35">
      <c r="C70" s="44">
        <v>6783144467</v>
      </c>
    </row>
    <row r="71" spans="3:3" x14ac:dyDescent="0.35">
      <c r="C71" s="44">
        <v>6791253691</v>
      </c>
    </row>
    <row r="72" spans="3:3" x14ac:dyDescent="0.35">
      <c r="C72" s="44">
        <v>6793182802</v>
      </c>
    </row>
    <row r="73" spans="3:3" x14ac:dyDescent="0.35">
      <c r="C73" s="44">
        <v>6831994093</v>
      </c>
    </row>
    <row r="74" spans="3:3" x14ac:dyDescent="0.35">
      <c r="C74" s="44">
        <v>6861691753</v>
      </c>
    </row>
    <row r="75" spans="3:3" x14ac:dyDescent="0.35">
      <c r="C75" s="44">
        <v>6922264302</v>
      </c>
    </row>
    <row r="76" spans="3:3" x14ac:dyDescent="0.35">
      <c r="C76" s="44">
        <v>6922315643</v>
      </c>
    </row>
    <row r="77" spans="3:3" x14ac:dyDescent="0.35">
      <c r="C77" s="44">
        <v>7010343001</v>
      </c>
    </row>
    <row r="78" spans="3:3" x14ac:dyDescent="0.35">
      <c r="C78" s="44">
        <v>7010819366</v>
      </c>
    </row>
    <row r="79" spans="3:3" x14ac:dyDescent="0.35">
      <c r="C79" s="44">
        <v>7011016480</v>
      </c>
    </row>
    <row r="80" spans="3:3" x14ac:dyDescent="0.35">
      <c r="C80" s="44">
        <v>7011106763</v>
      </c>
    </row>
    <row r="81" spans="3:3" x14ac:dyDescent="0.35">
      <c r="C81" s="44">
        <v>7121640630</v>
      </c>
    </row>
    <row r="82" spans="3:3" x14ac:dyDescent="0.35">
      <c r="C82" s="44">
        <v>7122576845</v>
      </c>
    </row>
    <row r="83" spans="3:3" x14ac:dyDescent="0.35">
      <c r="C83" s="44">
        <v>7123480633</v>
      </c>
    </row>
    <row r="84" spans="3:3" x14ac:dyDescent="0.35">
      <c r="C84" s="44">
        <v>7181974501</v>
      </c>
    </row>
    <row r="85" spans="3:3" x14ac:dyDescent="0.35">
      <c r="C85" s="44">
        <v>7182024061</v>
      </c>
    </row>
    <row r="86" spans="3:3" x14ac:dyDescent="0.35">
      <c r="C86" s="44">
        <v>7262648898</v>
      </c>
    </row>
    <row r="87" spans="3:3" x14ac:dyDescent="0.35">
      <c r="C87" s="44">
        <v>7272771778</v>
      </c>
    </row>
    <row r="88" spans="3:3" x14ac:dyDescent="0.35">
      <c r="C88" s="44">
        <v>7282799695</v>
      </c>
    </row>
    <row r="89" spans="3:3" x14ac:dyDescent="0.35">
      <c r="C89" s="44">
        <v>7492088894</v>
      </c>
    </row>
    <row r="90" spans="3:3" x14ac:dyDescent="0.35">
      <c r="C90" s="44">
        <v>7712886908</v>
      </c>
    </row>
    <row r="91" spans="3:3" x14ac:dyDescent="0.35">
      <c r="C91" s="44">
        <v>7773358902</v>
      </c>
    </row>
    <row r="92" spans="3:3" x14ac:dyDescent="0.35">
      <c r="C92" s="44">
        <v>7792008244</v>
      </c>
    </row>
    <row r="93" spans="3:3" x14ac:dyDescent="0.35">
      <c r="C93" s="44">
        <v>7792425870</v>
      </c>
    </row>
    <row r="94" spans="3:3" x14ac:dyDescent="0.35">
      <c r="C94" s="44">
        <v>7811850291</v>
      </c>
    </row>
    <row r="95" spans="3:3" x14ac:dyDescent="0.35">
      <c r="C95" s="44">
        <v>7812018749</v>
      </c>
    </row>
    <row r="96" spans="3:3" x14ac:dyDescent="0.35">
      <c r="C96" s="44">
        <v>7822550546</v>
      </c>
    </row>
    <row r="97" spans="3:3" x14ac:dyDescent="0.35">
      <c r="C97" s="44">
        <v>7822767033</v>
      </c>
    </row>
    <row r="98" spans="3:3" x14ac:dyDescent="0.35">
      <c r="C98" s="44">
        <v>7822767033</v>
      </c>
    </row>
    <row r="99" spans="3:3" x14ac:dyDescent="0.35">
      <c r="C99" s="44">
        <v>7831848096</v>
      </c>
    </row>
    <row r="100" spans="3:3" x14ac:dyDescent="0.35">
      <c r="C100" s="44">
        <v>7831850472</v>
      </c>
    </row>
    <row r="101" spans="3:3" x14ac:dyDescent="0.35">
      <c r="C101" s="44">
        <v>7921300143</v>
      </c>
    </row>
    <row r="102" spans="3:3" x14ac:dyDescent="0.35">
      <c r="C102" s="44">
        <v>8133690835</v>
      </c>
    </row>
    <row r="103" spans="3:3" x14ac:dyDescent="0.35">
      <c r="C103" s="44">
        <v>8133791111</v>
      </c>
    </row>
    <row r="104" spans="3:3" x14ac:dyDescent="0.35">
      <c r="C104" s="44">
        <v>8291543085</v>
      </c>
    </row>
    <row r="105" spans="3:3" x14ac:dyDescent="0.35">
      <c r="C105" s="44">
        <v>8291579611</v>
      </c>
    </row>
    <row r="106" spans="3:3" x14ac:dyDescent="0.35">
      <c r="C106" s="44">
        <v>8361832306</v>
      </c>
    </row>
    <row r="107" spans="3:3" x14ac:dyDescent="0.35">
      <c r="C107" s="44">
        <v>8371638959</v>
      </c>
    </row>
    <row r="108" spans="3:3" x14ac:dyDescent="0.35">
      <c r="C108" s="44">
        <v>8381031650</v>
      </c>
    </row>
    <row r="109" spans="3:3" x14ac:dyDescent="0.35">
      <c r="C109" s="44">
        <v>8481718487</v>
      </c>
    </row>
    <row r="110" spans="3:3" x14ac:dyDescent="0.35">
      <c r="C110" s="44">
        <v>8512074804</v>
      </c>
    </row>
    <row r="111" spans="3:3" x14ac:dyDescent="0.35">
      <c r="C111" s="44">
        <v>8513208336</v>
      </c>
    </row>
    <row r="112" spans="3:3" x14ac:dyDescent="0.35">
      <c r="C112" s="44">
        <v>8521777215</v>
      </c>
    </row>
    <row r="113" spans="3:3" x14ac:dyDescent="0.35">
      <c r="C113" s="44">
        <v>8581700110</v>
      </c>
    </row>
    <row r="114" spans="3:3" x14ac:dyDescent="0.35">
      <c r="C114" s="44">
        <v>8722425285</v>
      </c>
    </row>
    <row r="115" spans="3:3" x14ac:dyDescent="0.35">
      <c r="C115" s="44">
        <v>8762458977</v>
      </c>
    </row>
    <row r="116" spans="3:3" x14ac:dyDescent="0.35">
      <c r="C116" s="44">
        <v>8811376536</v>
      </c>
    </row>
    <row r="117" spans="3:3" x14ac:dyDescent="0.35">
      <c r="C117" s="44">
        <v>8942722074</v>
      </c>
    </row>
    <row r="118" spans="3:3" x14ac:dyDescent="0.35">
      <c r="C118" s="44">
        <v>8942995292</v>
      </c>
    </row>
    <row r="119" spans="3:3" x14ac:dyDescent="0.35">
      <c r="C119" s="44">
        <v>8942995292</v>
      </c>
    </row>
    <row r="120" spans="3:3" x14ac:dyDescent="0.35">
      <c r="C120" s="44">
        <v>8943083506</v>
      </c>
    </row>
    <row r="121" spans="3:3" x14ac:dyDescent="0.35">
      <c r="C121" s="44">
        <v>8943128568</v>
      </c>
    </row>
    <row r="122" spans="3:3" x14ac:dyDescent="0.35">
      <c r="C122" s="44">
        <v>8943144053</v>
      </c>
    </row>
    <row r="123" spans="3:3" x14ac:dyDescent="0.35">
      <c r="C123" s="44">
        <v>8952237825</v>
      </c>
    </row>
    <row r="124" spans="3:3" x14ac:dyDescent="0.35">
      <c r="C124" s="44">
        <v>8971849110</v>
      </c>
    </row>
    <row r="125" spans="3:3" x14ac:dyDescent="0.35">
      <c r="C125" s="44">
        <v>8982173923</v>
      </c>
    </row>
    <row r="126" spans="3:3" x14ac:dyDescent="0.35">
      <c r="C126" s="44">
        <v>8992295444</v>
      </c>
    </row>
    <row r="127" spans="3:3" x14ac:dyDescent="0.35">
      <c r="C127" s="44">
        <v>8992306076</v>
      </c>
    </row>
    <row r="128" spans="3:3" x14ac:dyDescent="0.35">
      <c r="C128" s="44">
        <v>8992770431</v>
      </c>
    </row>
    <row r="129" spans="3:3" x14ac:dyDescent="0.35">
      <c r="C129" s="44">
        <v>8992866645</v>
      </c>
    </row>
    <row r="130" spans="3:3" x14ac:dyDescent="0.35">
      <c r="C130" s="44">
        <v>9111914587</v>
      </c>
    </row>
    <row r="131" spans="3:3" x14ac:dyDescent="0.35">
      <c r="C131" s="44">
        <v>9141566659</v>
      </c>
    </row>
    <row r="132" spans="3:3" x14ac:dyDescent="0.35">
      <c r="C132" s="44">
        <v>9222695757</v>
      </c>
    </row>
    <row r="133" spans="3:3" x14ac:dyDescent="0.35">
      <c r="C133" s="44">
        <v>9451974588</v>
      </c>
    </row>
    <row r="134" spans="3:3" x14ac:dyDescent="0.35">
      <c r="C134" s="44">
        <v>9452222181</v>
      </c>
    </row>
    <row r="135" spans="3:3" x14ac:dyDescent="0.35">
      <c r="C135" s="44">
        <v>9462662763</v>
      </c>
    </row>
    <row r="136" spans="3:3" x14ac:dyDescent="0.35">
      <c r="C136" s="44">
        <v>9462662763</v>
      </c>
    </row>
    <row r="137" spans="3:3" x14ac:dyDescent="0.35">
      <c r="C137" s="44">
        <v>9512470819</v>
      </c>
    </row>
    <row r="138" spans="3:3" x14ac:dyDescent="0.35">
      <c r="C138" s="44">
        <v>9512504004</v>
      </c>
    </row>
    <row r="139" spans="3:3" x14ac:dyDescent="0.35">
      <c r="C139" s="44">
        <v>9512515114</v>
      </c>
    </row>
    <row r="140" spans="3:3" x14ac:dyDescent="0.35">
      <c r="C140" s="44">
        <v>9512515321</v>
      </c>
    </row>
    <row r="141" spans="3:3" x14ac:dyDescent="0.35">
      <c r="C141" s="44">
        <v>9520002091</v>
      </c>
    </row>
    <row r="142" spans="3:3" x14ac:dyDescent="0.35">
      <c r="C142" s="44">
        <v>9521356916</v>
      </c>
    </row>
    <row r="143" spans="3:3" x14ac:dyDescent="0.35">
      <c r="C143" s="44">
        <v>9522076099</v>
      </c>
    </row>
    <row r="144" spans="3:3" x14ac:dyDescent="0.35">
      <c r="C144" s="44">
        <v>9522121948</v>
      </c>
    </row>
    <row r="145" spans="3:3" x14ac:dyDescent="0.35">
      <c r="C145" s="44">
        <v>9541509300</v>
      </c>
    </row>
    <row r="146" spans="3:3" x14ac:dyDescent="0.35">
      <c r="C146" s="44">
        <v>9552376162</v>
      </c>
    </row>
    <row r="147" spans="3:3" x14ac:dyDescent="0.35">
      <c r="C147" s="44">
        <v>9552385043</v>
      </c>
    </row>
    <row r="148" spans="3:3" x14ac:dyDescent="0.35">
      <c r="C148" s="44">
        <v>9562304388</v>
      </c>
    </row>
    <row r="149" spans="3:3" x14ac:dyDescent="0.35">
      <c r="C149" s="44">
        <v>9562304388</v>
      </c>
    </row>
    <row r="150" spans="3:3" x14ac:dyDescent="0.35">
      <c r="C150" s="44">
        <v>9562304388</v>
      </c>
    </row>
    <row r="151" spans="3:3" x14ac:dyDescent="0.35">
      <c r="C151" s="44">
        <v>9562304388</v>
      </c>
    </row>
    <row r="152" spans="3:3" x14ac:dyDescent="0.35">
      <c r="C152" s="44">
        <v>9562319912</v>
      </c>
    </row>
    <row r="153" spans="3:3" x14ac:dyDescent="0.35">
      <c r="C153" s="44">
        <v>9570303587</v>
      </c>
    </row>
    <row r="154" spans="3:3" x14ac:dyDescent="0.35">
      <c r="C154" s="44">
        <v>9571075450</v>
      </c>
    </row>
    <row r="155" spans="3:3" x14ac:dyDescent="0.35">
      <c r="C155" s="44">
        <v>9571075450</v>
      </c>
    </row>
    <row r="156" spans="3:3" x14ac:dyDescent="0.35">
      <c r="C156" s="44">
        <v>9571078158</v>
      </c>
    </row>
    <row r="157" spans="3:3" x14ac:dyDescent="0.35">
      <c r="C157" s="44">
        <v>9571120216</v>
      </c>
    </row>
    <row r="158" spans="3:3" x14ac:dyDescent="0.35">
      <c r="C158" s="44">
        <v>9592055978</v>
      </c>
    </row>
    <row r="159" spans="3:3" x14ac:dyDescent="0.35">
      <c r="C159" s="44">
        <v>9691227253</v>
      </c>
    </row>
    <row r="160" spans="3:3" x14ac:dyDescent="0.35">
      <c r="C160" s="44">
        <v>9721190768</v>
      </c>
    </row>
    <row r="161" spans="3:3" x14ac:dyDescent="0.35">
      <c r="C161" s="44">
        <v>9950043000</v>
      </c>
    </row>
    <row r="162" spans="3:3" x14ac:dyDescent="0.35">
      <c r="C162" s="4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80ED-AEBD-4C10-8140-91B3E026AD3E}">
  <dimension ref="A2:B149"/>
  <sheetViews>
    <sheetView tabSelected="1" topLeftCell="A140" workbookViewId="0">
      <selection activeCell="B169" sqref="B169"/>
    </sheetView>
  </sheetViews>
  <sheetFormatPr defaultRowHeight="15.5" x14ac:dyDescent="0.35"/>
  <cols>
    <col min="1" max="1" width="11.1640625" bestFit="1" customWidth="1"/>
    <col min="2" max="2" width="13.4140625" bestFit="1" customWidth="1"/>
  </cols>
  <sheetData>
    <row r="2" spans="1:2" x14ac:dyDescent="0.35">
      <c r="A2" s="45" t="s">
        <v>0</v>
      </c>
      <c r="B2" t="s">
        <v>280</v>
      </c>
    </row>
    <row r="3" spans="1:2" x14ac:dyDescent="0.35">
      <c r="A3">
        <v>9562304388</v>
      </c>
      <c r="B3" s="44">
        <v>4</v>
      </c>
    </row>
    <row r="4" spans="1:2" x14ac:dyDescent="0.35">
      <c r="A4">
        <v>1132457808</v>
      </c>
      <c r="B4" s="44">
        <v>3</v>
      </c>
    </row>
    <row r="5" spans="1:2" x14ac:dyDescent="0.35">
      <c r="A5">
        <v>8942995292</v>
      </c>
      <c r="B5" s="44">
        <v>2</v>
      </c>
    </row>
    <row r="6" spans="1:2" x14ac:dyDescent="0.35">
      <c r="A6">
        <v>7822767033</v>
      </c>
      <c r="B6" s="44">
        <v>2</v>
      </c>
    </row>
    <row r="7" spans="1:2" x14ac:dyDescent="0.35">
      <c r="A7">
        <v>9462662763</v>
      </c>
      <c r="B7" s="44">
        <v>2</v>
      </c>
    </row>
    <row r="8" spans="1:2" x14ac:dyDescent="0.35">
      <c r="A8">
        <v>6751209442</v>
      </c>
      <c r="B8" s="44">
        <v>2</v>
      </c>
    </row>
    <row r="9" spans="1:2" x14ac:dyDescent="0.35">
      <c r="A9">
        <v>9571075450</v>
      </c>
      <c r="B9" s="44">
        <v>2</v>
      </c>
    </row>
    <row r="10" spans="1:2" x14ac:dyDescent="0.35">
      <c r="A10">
        <v>9552385043</v>
      </c>
      <c r="B10" s="44">
        <v>1</v>
      </c>
    </row>
    <row r="11" spans="1:2" x14ac:dyDescent="0.35">
      <c r="A11">
        <v>8581700110</v>
      </c>
      <c r="B11" s="44">
        <v>1</v>
      </c>
    </row>
    <row r="12" spans="1:2" x14ac:dyDescent="0.35">
      <c r="A12">
        <v>7822550546</v>
      </c>
      <c r="B12" s="44">
        <v>1</v>
      </c>
    </row>
    <row r="13" spans="1:2" x14ac:dyDescent="0.35">
      <c r="A13">
        <v>5213854438</v>
      </c>
      <c r="B13" s="44">
        <v>1</v>
      </c>
    </row>
    <row r="14" spans="1:2" x14ac:dyDescent="0.35">
      <c r="A14">
        <v>9111914587</v>
      </c>
      <c r="B14" s="44">
        <v>1</v>
      </c>
    </row>
    <row r="15" spans="1:2" x14ac:dyDescent="0.35">
      <c r="A15">
        <v>5213912615</v>
      </c>
      <c r="B15" s="44">
        <v>1</v>
      </c>
    </row>
    <row r="16" spans="1:2" x14ac:dyDescent="0.35">
      <c r="A16">
        <v>7282799695</v>
      </c>
      <c r="B16" s="44">
        <v>1</v>
      </c>
    </row>
    <row r="17" spans="1:2" x14ac:dyDescent="0.35">
      <c r="A17">
        <v>5213976638</v>
      </c>
      <c r="B17" s="44">
        <v>1</v>
      </c>
    </row>
    <row r="18" spans="1:2" x14ac:dyDescent="0.35">
      <c r="A18">
        <v>8291579611</v>
      </c>
      <c r="B18" s="44">
        <v>1</v>
      </c>
    </row>
    <row r="19" spans="1:2" x14ac:dyDescent="0.35">
      <c r="A19">
        <v>5213983383</v>
      </c>
      <c r="B19" s="44">
        <v>1</v>
      </c>
    </row>
    <row r="20" spans="1:2" x14ac:dyDescent="0.35">
      <c r="A20">
        <v>8943144053</v>
      </c>
      <c r="B20" s="44">
        <v>1</v>
      </c>
    </row>
    <row r="21" spans="1:2" x14ac:dyDescent="0.35">
      <c r="A21">
        <v>5214038422</v>
      </c>
      <c r="B21" s="44">
        <v>1</v>
      </c>
    </row>
    <row r="22" spans="1:2" x14ac:dyDescent="0.35">
      <c r="A22">
        <v>9512515114</v>
      </c>
      <c r="B22" s="44">
        <v>1</v>
      </c>
    </row>
    <row r="23" spans="1:2" x14ac:dyDescent="0.35">
      <c r="A23">
        <v>5222586517</v>
      </c>
      <c r="B23" s="44">
        <v>1</v>
      </c>
    </row>
    <row r="24" spans="1:2" x14ac:dyDescent="0.35">
      <c r="A24">
        <v>7181974501</v>
      </c>
      <c r="B24" s="44">
        <v>1</v>
      </c>
    </row>
    <row r="25" spans="1:2" x14ac:dyDescent="0.35">
      <c r="A25">
        <v>5222928662</v>
      </c>
      <c r="B25" s="44">
        <v>1</v>
      </c>
    </row>
    <row r="26" spans="1:2" x14ac:dyDescent="0.35">
      <c r="A26">
        <v>7792008244</v>
      </c>
      <c r="B26" s="44">
        <v>1</v>
      </c>
    </row>
    <row r="27" spans="1:2" x14ac:dyDescent="0.35">
      <c r="A27">
        <v>5222999260</v>
      </c>
      <c r="B27" s="44">
        <v>1</v>
      </c>
    </row>
    <row r="28" spans="1:2" x14ac:dyDescent="0.35">
      <c r="A28">
        <v>7921300143</v>
      </c>
      <c r="B28" s="44">
        <v>1</v>
      </c>
    </row>
    <row r="29" spans="1:2" x14ac:dyDescent="0.35">
      <c r="A29">
        <v>5223096548</v>
      </c>
      <c r="B29" s="44">
        <v>1</v>
      </c>
    </row>
    <row r="30" spans="1:2" x14ac:dyDescent="0.35">
      <c r="A30">
        <v>8481718487</v>
      </c>
      <c r="B30" s="44">
        <v>1</v>
      </c>
    </row>
    <row r="31" spans="1:2" x14ac:dyDescent="0.35">
      <c r="A31">
        <v>5223156256</v>
      </c>
      <c r="B31" s="44">
        <v>1</v>
      </c>
    </row>
    <row r="32" spans="1:2" x14ac:dyDescent="0.35">
      <c r="A32">
        <v>8942722074</v>
      </c>
      <c r="B32" s="44">
        <v>1</v>
      </c>
    </row>
    <row r="33" spans="1:2" x14ac:dyDescent="0.35">
      <c r="A33">
        <v>5251488680</v>
      </c>
      <c r="B33" s="44">
        <v>1</v>
      </c>
    </row>
    <row r="34" spans="1:2" x14ac:dyDescent="0.35">
      <c r="A34">
        <v>8992295444</v>
      </c>
      <c r="B34" s="44">
        <v>1</v>
      </c>
    </row>
    <row r="35" spans="1:2" x14ac:dyDescent="0.35">
      <c r="A35">
        <v>5252350506</v>
      </c>
      <c r="B35" s="44">
        <v>1</v>
      </c>
    </row>
    <row r="36" spans="1:2" x14ac:dyDescent="0.35">
      <c r="A36">
        <v>9452222181</v>
      </c>
      <c r="B36" s="44">
        <v>1</v>
      </c>
    </row>
    <row r="37" spans="1:2" x14ac:dyDescent="0.35">
      <c r="A37">
        <v>5252615933</v>
      </c>
      <c r="B37" s="44">
        <v>1</v>
      </c>
    </row>
    <row r="38" spans="1:2" x14ac:dyDescent="0.35">
      <c r="A38">
        <v>9522076099</v>
      </c>
      <c r="B38" s="44">
        <v>1</v>
      </c>
    </row>
    <row r="39" spans="1:2" x14ac:dyDescent="0.35">
      <c r="A39">
        <v>5252800889</v>
      </c>
      <c r="B39" s="44">
        <v>1</v>
      </c>
    </row>
    <row r="40" spans="1:2" x14ac:dyDescent="0.35">
      <c r="A40">
        <v>9721190768</v>
      </c>
      <c r="B40" s="44">
        <v>1</v>
      </c>
    </row>
    <row r="41" spans="1:2" x14ac:dyDescent="0.35">
      <c r="A41">
        <v>5252808164</v>
      </c>
      <c r="B41" s="44">
        <v>1</v>
      </c>
    </row>
    <row r="42" spans="1:2" x14ac:dyDescent="0.35">
      <c r="A42">
        <v>7262648898</v>
      </c>
      <c r="B42" s="44">
        <v>1</v>
      </c>
    </row>
    <row r="43" spans="1:2" x14ac:dyDescent="0.35">
      <c r="A43">
        <v>5262380182</v>
      </c>
      <c r="B43" s="44">
        <v>1</v>
      </c>
    </row>
    <row r="44" spans="1:2" x14ac:dyDescent="0.35">
      <c r="A44">
        <v>7712886908</v>
      </c>
      <c r="B44" s="44">
        <v>1</v>
      </c>
    </row>
    <row r="45" spans="1:2" x14ac:dyDescent="0.35">
      <c r="A45">
        <v>5262813327</v>
      </c>
      <c r="B45" s="44">
        <v>1</v>
      </c>
    </row>
    <row r="46" spans="1:2" x14ac:dyDescent="0.35">
      <c r="A46">
        <v>7811850291</v>
      </c>
      <c r="B46" s="44">
        <v>1</v>
      </c>
    </row>
    <row r="47" spans="1:2" x14ac:dyDescent="0.35">
      <c r="A47">
        <v>5272523080</v>
      </c>
      <c r="B47" s="44">
        <v>1</v>
      </c>
    </row>
    <row r="48" spans="1:2" x14ac:dyDescent="0.35">
      <c r="A48">
        <v>7831848096</v>
      </c>
      <c r="B48" s="44">
        <v>1</v>
      </c>
    </row>
    <row r="49" spans="1:2" x14ac:dyDescent="0.35">
      <c r="A49">
        <v>5272651441</v>
      </c>
      <c r="B49" s="44">
        <v>1</v>
      </c>
    </row>
    <row r="50" spans="1:2" x14ac:dyDescent="0.35">
      <c r="A50">
        <v>8133791111</v>
      </c>
      <c r="B50" s="44">
        <v>1</v>
      </c>
    </row>
    <row r="51" spans="1:2" x14ac:dyDescent="0.35">
      <c r="A51">
        <v>5321643282</v>
      </c>
      <c r="B51" s="44">
        <v>1</v>
      </c>
    </row>
    <row r="52" spans="1:2" x14ac:dyDescent="0.35">
      <c r="A52">
        <v>8371638959</v>
      </c>
      <c r="B52" s="44">
        <v>1</v>
      </c>
    </row>
    <row r="53" spans="1:2" x14ac:dyDescent="0.35">
      <c r="A53">
        <v>5361922350</v>
      </c>
      <c r="B53" s="44">
        <v>1</v>
      </c>
    </row>
    <row r="54" spans="1:2" x14ac:dyDescent="0.35">
      <c r="A54">
        <v>8513208336</v>
      </c>
      <c r="B54" s="44">
        <v>1</v>
      </c>
    </row>
    <row r="55" spans="1:2" x14ac:dyDescent="0.35">
      <c r="A55">
        <v>5422964757</v>
      </c>
      <c r="B55" s="44">
        <v>1</v>
      </c>
    </row>
    <row r="56" spans="1:2" x14ac:dyDescent="0.35">
      <c r="A56">
        <v>8762458977</v>
      </c>
      <c r="B56" s="44">
        <v>1</v>
      </c>
    </row>
    <row r="57" spans="1:2" x14ac:dyDescent="0.35">
      <c r="A57">
        <v>5423055755</v>
      </c>
      <c r="B57" s="44">
        <v>1</v>
      </c>
    </row>
    <row r="58" spans="1:2" x14ac:dyDescent="0.35">
      <c r="A58">
        <v>8943083506</v>
      </c>
      <c r="B58" s="44">
        <v>1</v>
      </c>
    </row>
    <row r="59" spans="1:2" x14ac:dyDescent="0.35">
      <c r="A59">
        <v>5472100071</v>
      </c>
      <c r="B59" s="44">
        <v>1</v>
      </c>
    </row>
    <row r="60" spans="1:2" x14ac:dyDescent="0.35">
      <c r="A60">
        <v>8971849110</v>
      </c>
      <c r="B60" s="44">
        <v>1</v>
      </c>
    </row>
    <row r="61" spans="1:2" x14ac:dyDescent="0.35">
      <c r="A61">
        <v>5472200973</v>
      </c>
      <c r="B61" s="44">
        <v>1</v>
      </c>
    </row>
    <row r="62" spans="1:2" x14ac:dyDescent="0.35">
      <c r="A62">
        <v>8992770431</v>
      </c>
      <c r="B62" s="44">
        <v>1</v>
      </c>
    </row>
    <row r="63" spans="1:2" x14ac:dyDescent="0.35">
      <c r="A63">
        <v>5542485321</v>
      </c>
      <c r="B63" s="44">
        <v>1</v>
      </c>
    </row>
    <row r="64" spans="1:2" x14ac:dyDescent="0.35">
      <c r="A64">
        <v>9222695757</v>
      </c>
      <c r="B64" s="44">
        <v>1</v>
      </c>
    </row>
    <row r="65" spans="1:2" x14ac:dyDescent="0.35">
      <c r="A65">
        <v>5671583830</v>
      </c>
      <c r="B65" s="44">
        <v>1</v>
      </c>
    </row>
    <row r="66" spans="1:2" x14ac:dyDescent="0.35">
      <c r="A66">
        <v>9512470819</v>
      </c>
      <c r="B66" s="44">
        <v>1</v>
      </c>
    </row>
    <row r="67" spans="1:2" x14ac:dyDescent="0.35">
      <c r="A67">
        <v>5840203541</v>
      </c>
      <c r="B67" s="44">
        <v>1</v>
      </c>
    </row>
    <row r="68" spans="1:2" x14ac:dyDescent="0.35">
      <c r="A68">
        <v>9520002091</v>
      </c>
      <c r="B68" s="44">
        <v>1</v>
      </c>
    </row>
    <row r="69" spans="1:2" x14ac:dyDescent="0.35">
      <c r="A69">
        <v>5840358054</v>
      </c>
      <c r="B69" s="44">
        <v>1</v>
      </c>
    </row>
    <row r="70" spans="1:2" x14ac:dyDescent="0.35">
      <c r="A70">
        <v>9541509300</v>
      </c>
      <c r="B70" s="44">
        <v>1</v>
      </c>
    </row>
    <row r="71" spans="1:2" x14ac:dyDescent="0.35">
      <c r="A71">
        <v>5862245682</v>
      </c>
      <c r="B71" s="44">
        <v>1</v>
      </c>
    </row>
    <row r="72" spans="1:2" x14ac:dyDescent="0.35">
      <c r="A72">
        <v>9562319912</v>
      </c>
      <c r="B72" s="44">
        <v>1</v>
      </c>
    </row>
    <row r="73" spans="1:2" x14ac:dyDescent="0.35">
      <c r="A73">
        <v>5862324364</v>
      </c>
      <c r="B73" s="44">
        <v>1</v>
      </c>
    </row>
    <row r="74" spans="1:2" x14ac:dyDescent="0.35">
      <c r="A74">
        <v>1133042357</v>
      </c>
      <c r="B74" s="44">
        <v>1</v>
      </c>
    </row>
    <row r="75" spans="1:2" x14ac:dyDescent="0.35">
      <c r="A75">
        <v>5993265550</v>
      </c>
      <c r="B75" s="44">
        <v>1</v>
      </c>
    </row>
    <row r="76" spans="1:2" x14ac:dyDescent="0.35">
      <c r="A76">
        <v>7182024061</v>
      </c>
      <c r="B76" s="44">
        <v>1</v>
      </c>
    </row>
    <row r="77" spans="1:2" x14ac:dyDescent="0.35">
      <c r="A77">
        <v>6312291826</v>
      </c>
      <c r="B77" s="44">
        <v>1</v>
      </c>
    </row>
    <row r="78" spans="1:2" x14ac:dyDescent="0.35">
      <c r="A78">
        <v>7272771778</v>
      </c>
      <c r="B78" s="44">
        <v>1</v>
      </c>
    </row>
    <row r="79" spans="1:2" x14ac:dyDescent="0.35">
      <c r="A79">
        <v>6312382167</v>
      </c>
      <c r="B79" s="44">
        <v>1</v>
      </c>
    </row>
    <row r="80" spans="1:2" x14ac:dyDescent="0.35">
      <c r="A80">
        <v>7492088894</v>
      </c>
      <c r="B80" s="44">
        <v>1</v>
      </c>
    </row>
    <row r="81" spans="1:2" x14ac:dyDescent="0.35">
      <c r="A81">
        <v>6342823469</v>
      </c>
      <c r="B81" s="44">
        <v>1</v>
      </c>
    </row>
    <row r="82" spans="1:2" x14ac:dyDescent="0.35">
      <c r="A82">
        <v>7773358902</v>
      </c>
      <c r="B82" s="44">
        <v>1</v>
      </c>
    </row>
    <row r="83" spans="1:2" x14ac:dyDescent="0.35">
      <c r="A83">
        <v>6342945468</v>
      </c>
      <c r="B83" s="44">
        <v>1</v>
      </c>
    </row>
    <row r="84" spans="1:2" x14ac:dyDescent="0.35">
      <c r="A84">
        <v>7792425870</v>
      </c>
      <c r="B84" s="44">
        <v>1</v>
      </c>
    </row>
    <row r="85" spans="1:2" x14ac:dyDescent="0.35">
      <c r="A85">
        <v>6431621201</v>
      </c>
      <c r="B85" s="44">
        <v>1</v>
      </c>
    </row>
    <row r="86" spans="1:2" x14ac:dyDescent="0.35">
      <c r="A86">
        <v>7812018749</v>
      </c>
      <c r="B86" s="44">
        <v>1</v>
      </c>
    </row>
    <row r="87" spans="1:2" x14ac:dyDescent="0.35">
      <c r="A87">
        <v>6443013625</v>
      </c>
      <c r="B87" s="44">
        <v>1</v>
      </c>
    </row>
    <row r="88" spans="1:2" x14ac:dyDescent="0.35">
      <c r="A88">
        <v>5070094210</v>
      </c>
      <c r="B88" s="44">
        <v>1</v>
      </c>
    </row>
    <row r="89" spans="1:2" x14ac:dyDescent="0.35">
      <c r="A89">
        <v>6482796979</v>
      </c>
      <c r="B89" s="44">
        <v>1</v>
      </c>
    </row>
    <row r="90" spans="1:2" x14ac:dyDescent="0.35">
      <c r="A90">
        <v>7831850472</v>
      </c>
      <c r="B90" s="44">
        <v>1</v>
      </c>
    </row>
    <row r="91" spans="1:2" x14ac:dyDescent="0.35">
      <c r="A91">
        <v>6571309828</v>
      </c>
      <c r="B91" s="44">
        <v>1</v>
      </c>
    </row>
    <row r="92" spans="1:2" x14ac:dyDescent="0.35">
      <c r="A92">
        <v>8133690835</v>
      </c>
      <c r="B92" s="44">
        <v>1</v>
      </c>
    </row>
    <row r="93" spans="1:2" x14ac:dyDescent="0.35">
      <c r="A93">
        <v>6572922910</v>
      </c>
      <c r="B93" s="44">
        <v>1</v>
      </c>
    </row>
    <row r="94" spans="1:2" x14ac:dyDescent="0.35">
      <c r="A94">
        <v>8291543085</v>
      </c>
      <c r="B94" s="44">
        <v>1</v>
      </c>
    </row>
    <row r="95" spans="1:2" x14ac:dyDescent="0.35">
      <c r="A95">
        <v>6612364481</v>
      </c>
      <c r="B95" s="44">
        <v>1</v>
      </c>
    </row>
    <row r="96" spans="1:2" x14ac:dyDescent="0.35">
      <c r="A96">
        <v>8361832306</v>
      </c>
      <c r="B96" s="44">
        <v>1</v>
      </c>
    </row>
    <row r="97" spans="1:2" x14ac:dyDescent="0.35">
      <c r="A97">
        <v>6692304416</v>
      </c>
      <c r="B97" s="44">
        <v>1</v>
      </c>
    </row>
    <row r="98" spans="1:2" x14ac:dyDescent="0.35">
      <c r="A98">
        <v>8381031650</v>
      </c>
      <c r="B98" s="44">
        <v>1</v>
      </c>
    </row>
    <row r="99" spans="1:2" x14ac:dyDescent="0.35">
      <c r="A99">
        <v>6731898059</v>
      </c>
      <c r="B99" s="44">
        <v>1</v>
      </c>
    </row>
    <row r="100" spans="1:2" x14ac:dyDescent="0.35">
      <c r="A100">
        <v>8512074804</v>
      </c>
      <c r="B100" s="44">
        <v>1</v>
      </c>
    </row>
    <row r="101" spans="1:2" x14ac:dyDescent="0.35">
      <c r="A101">
        <v>1181640926</v>
      </c>
      <c r="B101" s="44">
        <v>1</v>
      </c>
    </row>
    <row r="102" spans="1:2" x14ac:dyDescent="0.35">
      <c r="A102">
        <v>8521777215</v>
      </c>
      <c r="B102" s="44">
        <v>1</v>
      </c>
    </row>
    <row r="103" spans="1:2" x14ac:dyDescent="0.35">
      <c r="A103">
        <v>6751504715</v>
      </c>
      <c r="B103" s="44">
        <v>1</v>
      </c>
    </row>
    <row r="104" spans="1:2" x14ac:dyDescent="0.35">
      <c r="A104">
        <v>8722425285</v>
      </c>
      <c r="B104" s="44">
        <v>1</v>
      </c>
    </row>
    <row r="105" spans="1:2" x14ac:dyDescent="0.35">
      <c r="A105">
        <v>6751694710</v>
      </c>
      <c r="B105" s="44">
        <v>1</v>
      </c>
    </row>
    <row r="106" spans="1:2" x14ac:dyDescent="0.35">
      <c r="A106">
        <v>8811376536</v>
      </c>
      <c r="B106" s="44">
        <v>1</v>
      </c>
    </row>
    <row r="107" spans="1:2" x14ac:dyDescent="0.35">
      <c r="A107">
        <v>6760000150</v>
      </c>
      <c r="B107" s="44">
        <v>1</v>
      </c>
    </row>
    <row r="108" spans="1:2" x14ac:dyDescent="0.35">
      <c r="A108">
        <v>5213095056</v>
      </c>
      <c r="B108" s="44">
        <v>1</v>
      </c>
    </row>
    <row r="109" spans="1:2" x14ac:dyDescent="0.35">
      <c r="A109">
        <v>6762484040</v>
      </c>
      <c r="B109" s="44">
        <v>1</v>
      </c>
    </row>
    <row r="110" spans="1:2" x14ac:dyDescent="0.35">
      <c r="A110">
        <v>8943128568</v>
      </c>
      <c r="B110" s="44">
        <v>1</v>
      </c>
    </row>
    <row r="111" spans="1:2" x14ac:dyDescent="0.35">
      <c r="A111">
        <v>6772250007</v>
      </c>
      <c r="B111" s="44">
        <v>1</v>
      </c>
    </row>
    <row r="112" spans="1:2" x14ac:dyDescent="0.35">
      <c r="A112">
        <v>8952237825</v>
      </c>
      <c r="B112" s="44">
        <v>1</v>
      </c>
    </row>
    <row r="113" spans="1:2" x14ac:dyDescent="0.35">
      <c r="A113">
        <v>6772444728</v>
      </c>
      <c r="B113" s="44">
        <v>1</v>
      </c>
    </row>
    <row r="114" spans="1:2" x14ac:dyDescent="0.35">
      <c r="A114">
        <v>8982173923</v>
      </c>
      <c r="B114" s="44">
        <v>1</v>
      </c>
    </row>
    <row r="115" spans="1:2" x14ac:dyDescent="0.35">
      <c r="A115">
        <v>6772450723</v>
      </c>
      <c r="B115" s="44">
        <v>1</v>
      </c>
    </row>
    <row r="116" spans="1:2" x14ac:dyDescent="0.35">
      <c r="A116">
        <v>8992306076</v>
      </c>
      <c r="B116" s="44">
        <v>1</v>
      </c>
    </row>
    <row r="117" spans="1:2" x14ac:dyDescent="0.35">
      <c r="A117">
        <v>6783144467</v>
      </c>
      <c r="B117" s="44">
        <v>1</v>
      </c>
    </row>
    <row r="118" spans="1:2" x14ac:dyDescent="0.35">
      <c r="A118">
        <v>8992866645</v>
      </c>
      <c r="B118" s="44">
        <v>1</v>
      </c>
    </row>
    <row r="119" spans="1:2" x14ac:dyDescent="0.35">
      <c r="A119">
        <v>6791253691</v>
      </c>
      <c r="B119" s="44">
        <v>1</v>
      </c>
    </row>
    <row r="120" spans="1:2" x14ac:dyDescent="0.35">
      <c r="A120">
        <v>9141566659</v>
      </c>
      <c r="B120" s="44">
        <v>1</v>
      </c>
    </row>
    <row r="121" spans="1:2" x14ac:dyDescent="0.35">
      <c r="A121">
        <v>6793182802</v>
      </c>
      <c r="B121" s="44">
        <v>1</v>
      </c>
    </row>
    <row r="122" spans="1:2" x14ac:dyDescent="0.35">
      <c r="A122">
        <v>9451974588</v>
      </c>
      <c r="B122" s="44">
        <v>1</v>
      </c>
    </row>
    <row r="123" spans="1:2" x14ac:dyDescent="0.35">
      <c r="A123">
        <v>6831994093</v>
      </c>
      <c r="B123" s="44">
        <v>1</v>
      </c>
    </row>
    <row r="124" spans="1:2" x14ac:dyDescent="0.35">
      <c r="A124">
        <v>5213691717</v>
      </c>
      <c r="B124" s="44">
        <v>1</v>
      </c>
    </row>
    <row r="125" spans="1:2" x14ac:dyDescent="0.35">
      <c r="A125">
        <v>6861691753</v>
      </c>
      <c r="B125" s="44">
        <v>1</v>
      </c>
    </row>
    <row r="126" spans="1:2" x14ac:dyDescent="0.35">
      <c r="A126">
        <v>9512504004</v>
      </c>
      <c r="B126" s="44">
        <v>1</v>
      </c>
    </row>
    <row r="127" spans="1:2" x14ac:dyDescent="0.35">
      <c r="A127">
        <v>6922264302</v>
      </c>
      <c r="B127" s="44">
        <v>1</v>
      </c>
    </row>
    <row r="128" spans="1:2" x14ac:dyDescent="0.35">
      <c r="A128">
        <v>9512515321</v>
      </c>
      <c r="B128" s="44">
        <v>1</v>
      </c>
    </row>
    <row r="129" spans="1:2" x14ac:dyDescent="0.35">
      <c r="A129">
        <v>6922315643</v>
      </c>
      <c r="B129" s="44">
        <v>1</v>
      </c>
    </row>
    <row r="130" spans="1:2" x14ac:dyDescent="0.35">
      <c r="A130">
        <v>9521356916</v>
      </c>
      <c r="B130" s="44">
        <v>1</v>
      </c>
    </row>
    <row r="131" spans="1:2" x14ac:dyDescent="0.35">
      <c r="A131">
        <v>7010343001</v>
      </c>
      <c r="B131" s="44">
        <v>1</v>
      </c>
    </row>
    <row r="132" spans="1:2" x14ac:dyDescent="0.35">
      <c r="A132">
        <v>9522121948</v>
      </c>
      <c r="B132" s="44">
        <v>1</v>
      </c>
    </row>
    <row r="133" spans="1:2" x14ac:dyDescent="0.35">
      <c r="A133">
        <v>7010819366</v>
      </c>
      <c r="B133" s="44">
        <v>1</v>
      </c>
    </row>
    <row r="134" spans="1:2" x14ac:dyDescent="0.35">
      <c r="A134">
        <v>9552376162</v>
      </c>
      <c r="B134" s="44">
        <v>1</v>
      </c>
    </row>
    <row r="135" spans="1:2" x14ac:dyDescent="0.35">
      <c r="A135">
        <v>9570303587</v>
      </c>
      <c r="B135" s="44">
        <v>1</v>
      </c>
    </row>
    <row r="136" spans="1:2" x14ac:dyDescent="0.35">
      <c r="A136">
        <v>1132742696</v>
      </c>
      <c r="B136" s="44">
        <v>1</v>
      </c>
    </row>
    <row r="137" spans="1:2" x14ac:dyDescent="0.35">
      <c r="A137">
        <v>9571078158</v>
      </c>
      <c r="B137" s="44">
        <v>1</v>
      </c>
    </row>
    <row r="138" spans="1:2" x14ac:dyDescent="0.35">
      <c r="A138">
        <v>5213782466</v>
      </c>
      <c r="B138" s="44">
        <v>1</v>
      </c>
    </row>
    <row r="139" spans="1:2" x14ac:dyDescent="0.35">
      <c r="A139">
        <v>9592055978</v>
      </c>
      <c r="B139" s="44">
        <v>1</v>
      </c>
    </row>
    <row r="140" spans="1:2" x14ac:dyDescent="0.35">
      <c r="A140">
        <v>7011016480</v>
      </c>
      <c r="B140" s="44">
        <v>1</v>
      </c>
    </row>
    <row r="141" spans="1:2" x14ac:dyDescent="0.35">
      <c r="A141">
        <v>9571120216</v>
      </c>
      <c r="B141" s="44">
        <v>1</v>
      </c>
    </row>
    <row r="142" spans="1:2" x14ac:dyDescent="0.35">
      <c r="A142">
        <v>7011106763</v>
      </c>
      <c r="B142" s="44">
        <v>1</v>
      </c>
    </row>
    <row r="143" spans="1:2" x14ac:dyDescent="0.35">
      <c r="A143">
        <v>9691227253</v>
      </c>
      <c r="B143" s="44">
        <v>1</v>
      </c>
    </row>
    <row r="144" spans="1:2" x14ac:dyDescent="0.35">
      <c r="A144">
        <v>7121640630</v>
      </c>
      <c r="B144" s="44">
        <v>1</v>
      </c>
    </row>
    <row r="145" spans="1:2" x14ac:dyDescent="0.35">
      <c r="A145">
        <v>9950043000</v>
      </c>
      <c r="B145" s="44">
        <v>1</v>
      </c>
    </row>
    <row r="146" spans="1:2" x14ac:dyDescent="0.35">
      <c r="A146" t="s">
        <v>54</v>
      </c>
      <c r="B146" s="44">
        <v>1</v>
      </c>
    </row>
    <row r="147" spans="1:2" x14ac:dyDescent="0.35">
      <c r="A147">
        <v>7123480633</v>
      </c>
      <c r="B147" s="44">
        <v>1</v>
      </c>
    </row>
    <row r="148" spans="1:2" x14ac:dyDescent="0.35">
      <c r="A148">
        <v>7122576845</v>
      </c>
      <c r="B148" s="44">
        <v>1</v>
      </c>
    </row>
    <row r="149" spans="1:2" x14ac:dyDescent="0.35">
      <c r="A149" t="s">
        <v>281</v>
      </c>
      <c r="B149" s="44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</vt:lpstr>
      <vt:lpstr>Sheet4</vt:lpstr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Nowocin</dc:creator>
  <cp:keywords/>
  <dc:description/>
  <cp:lastModifiedBy>Katarzyna Ochnik</cp:lastModifiedBy>
  <cp:revision/>
  <dcterms:created xsi:type="dcterms:W3CDTF">2025-10-09T20:23:19Z</dcterms:created>
  <dcterms:modified xsi:type="dcterms:W3CDTF">2025-10-24T07:16:40Z</dcterms:modified>
  <cp:category/>
  <cp:contentStatus/>
</cp:coreProperties>
</file>