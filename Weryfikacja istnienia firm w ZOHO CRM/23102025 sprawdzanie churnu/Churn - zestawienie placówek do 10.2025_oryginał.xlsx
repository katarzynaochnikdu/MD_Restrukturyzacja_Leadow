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chn\.cursor\Medidesk\Weryfikacja istnienia firm w ZOHO CRM\23102025 sprawdzanie churnu\"/>
    </mc:Choice>
  </mc:AlternateContent>
  <xr:revisionPtr revIDLastSave="0" documentId="8_{E8223B71-655B-4ED8-8075-CB3015B4530F}" xr6:coauthVersionLast="47" xr6:coauthVersionMax="47" xr10:uidLastSave="{00000000-0000-0000-0000-000000000000}"/>
  <bookViews>
    <workbookView xWindow="2420" yWindow="2420" windowWidth="38400" windowHeight="9970" xr2:uid="{FCD8D301-6C4D-B84F-A9DB-0E161CFC9B20}"/>
  </bookViews>
  <sheets>
    <sheet name="Chur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" l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P163" i="1"/>
  <c r="O163" i="1"/>
  <c r="N163" i="1"/>
  <c r="M163" i="1"/>
  <c r="L163" i="1"/>
  <c r="K163" i="1"/>
  <c r="J163" i="1"/>
  <c r="I163" i="1"/>
  <c r="H163" i="1"/>
  <c r="G163" i="1"/>
  <c r="F163" i="1"/>
  <c r="X162" i="1"/>
  <c r="Y162" i="1" s="1"/>
  <c r="Z162" i="1" s="1"/>
  <c r="AA162" i="1" s="1"/>
  <c r="AB162" i="1" s="1"/>
  <c r="AC162" i="1" s="1"/>
  <c r="AD162" i="1" s="1"/>
  <c r="R162" i="1"/>
  <c r="S162" i="1" s="1"/>
  <c r="T162" i="1" s="1"/>
  <c r="U162" i="1" s="1"/>
  <c r="V162" i="1" s="1"/>
  <c r="W162" i="1" s="1"/>
  <c r="P162" i="1"/>
  <c r="M162" i="1"/>
  <c r="S161" i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Q161" i="1"/>
  <c r="R161" i="1" s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V160" i="1"/>
  <c r="AV2" i="1" s="1"/>
  <c r="AU160" i="1"/>
  <c r="AU2" i="1" s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C159" i="1"/>
  <c r="AB159" i="1"/>
  <c r="AA159" i="1"/>
  <c r="Z159" i="1"/>
  <c r="R158" i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S157" i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M157" i="1"/>
  <c r="R156" i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R155" i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Q155" i="1"/>
  <c r="R154" i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G154" i="1"/>
  <c r="R153" i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I152" i="1"/>
  <c r="AJ152" i="1" s="1"/>
  <c r="AK152" i="1" s="1"/>
  <c r="AL152" i="1" s="1"/>
  <c r="AM152" i="1" s="1"/>
  <c r="AA152" i="1"/>
  <c r="R151" i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N151" i="1"/>
  <c r="R150" i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R149" i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Q148" i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H148" i="1"/>
  <c r="R147" i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N146" i="1"/>
  <c r="M146" i="1"/>
  <c r="L146" i="1"/>
  <c r="K146" i="1"/>
  <c r="J146" i="1"/>
  <c r="I146" i="1"/>
  <c r="H146" i="1"/>
  <c r="G146" i="1"/>
  <c r="F146" i="1"/>
  <c r="E146" i="1"/>
  <c r="AB144" i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S144" i="1"/>
  <c r="T144" i="1" s="1"/>
  <c r="U144" i="1" s="1"/>
  <c r="V144" i="1" s="1"/>
  <c r="W144" i="1" s="1"/>
  <c r="X144" i="1" s="1"/>
  <c r="AA142" i="1"/>
  <c r="AB142" i="1" s="1"/>
  <c r="AC142" i="1" s="1"/>
  <c r="AD142" i="1" s="1"/>
  <c r="Z142" i="1"/>
  <c r="Y142" i="1"/>
  <c r="X142" i="1"/>
  <c r="W142" i="1"/>
  <c r="R142" i="1"/>
  <c r="S142" i="1" s="1"/>
  <c r="T142" i="1" s="1"/>
  <c r="U142" i="1" s="1"/>
  <c r="V142" i="1" s="1"/>
  <c r="K142" i="1"/>
  <c r="R141" i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O141" i="1"/>
  <c r="L141" i="1"/>
  <c r="AF140" i="1"/>
  <c r="AG140" i="1" s="1"/>
  <c r="AH140" i="1" s="1"/>
  <c r="AI140" i="1" s="1"/>
  <c r="AJ140" i="1" s="1"/>
  <c r="AK140" i="1" s="1"/>
  <c r="AL140" i="1" s="1"/>
  <c r="AA140" i="1"/>
  <c r="S139" i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Q138" i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Q137" i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P137" i="1"/>
  <c r="O137" i="1"/>
  <c r="N137" i="1"/>
  <c r="M137" i="1"/>
  <c r="L137" i="1"/>
  <c r="K137" i="1"/>
  <c r="J137" i="1"/>
  <c r="I137" i="1"/>
  <c r="H137" i="1"/>
  <c r="G137" i="1"/>
  <c r="F137" i="1"/>
  <c r="E137" i="1"/>
  <c r="V136" i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T135" i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O134" i="1"/>
  <c r="AL134" i="1"/>
  <c r="AK134" i="1"/>
  <c r="AH134" i="1"/>
  <c r="R134" i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I134" i="1" s="1"/>
  <c r="R133" i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Q132" i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P132" i="1"/>
  <c r="O132" i="1"/>
  <c r="N132" i="1"/>
  <c r="M132" i="1"/>
  <c r="L132" i="1"/>
  <c r="K132" i="1"/>
  <c r="J132" i="1"/>
  <c r="I132" i="1"/>
  <c r="H132" i="1"/>
  <c r="G132" i="1"/>
  <c r="F132" i="1"/>
  <c r="E132" i="1"/>
  <c r="L129" i="1"/>
  <c r="AB127" i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S127" i="1"/>
  <c r="R126" i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R125" i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B124" i="1"/>
  <c r="S123" i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R122" i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Q122" i="1"/>
  <c r="P122" i="1"/>
  <c r="O122" i="1"/>
  <c r="N122" i="1"/>
  <c r="M122" i="1"/>
  <c r="L122" i="1"/>
  <c r="K122" i="1"/>
  <c r="Q121" i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Q120" i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R119" i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G119" i="1"/>
  <c r="U118" i="1"/>
  <c r="V118" i="1" s="1"/>
  <c r="W118" i="1" s="1"/>
  <c r="X118" i="1" s="1"/>
  <c r="Y118" i="1" s="1"/>
  <c r="Z118" i="1" s="1"/>
  <c r="AA118" i="1" s="1"/>
  <c r="AB118" i="1" s="1"/>
  <c r="AC118" i="1" s="1"/>
  <c r="R117" i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AJ116" i="1"/>
  <c r="AI116" i="1"/>
  <c r="AH116" i="1"/>
  <c r="AG116" i="1"/>
  <c r="AF116" i="1"/>
  <c r="AE116" i="1"/>
  <c r="AD116" i="1"/>
  <c r="AC116" i="1"/>
  <c r="AB116" i="1"/>
  <c r="X116" i="1"/>
  <c r="V116" i="1"/>
  <c r="R115" i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R114" i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Q113" i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P113" i="1"/>
  <c r="O113" i="1"/>
  <c r="N113" i="1"/>
  <c r="M113" i="1"/>
  <c r="L113" i="1"/>
  <c r="K113" i="1"/>
  <c r="J113" i="1"/>
  <c r="I113" i="1"/>
  <c r="H113" i="1"/>
  <c r="G113" i="1"/>
  <c r="F113" i="1"/>
  <c r="E113" i="1"/>
  <c r="Q112" i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P112" i="1"/>
  <c r="O112" i="1"/>
  <c r="N112" i="1"/>
  <c r="M112" i="1"/>
  <c r="L112" i="1"/>
  <c r="K112" i="1"/>
  <c r="J112" i="1"/>
  <c r="I112" i="1"/>
  <c r="H112" i="1"/>
  <c r="G112" i="1"/>
  <c r="F112" i="1"/>
  <c r="E112" i="1"/>
  <c r="Q111" i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P111" i="1"/>
  <c r="O111" i="1"/>
  <c r="N111" i="1"/>
  <c r="M111" i="1"/>
  <c r="L111" i="1"/>
  <c r="K111" i="1"/>
  <c r="J111" i="1"/>
  <c r="I111" i="1"/>
  <c r="H111" i="1"/>
  <c r="G111" i="1"/>
  <c r="F111" i="1"/>
  <c r="E111" i="1"/>
  <c r="AB110" i="1"/>
  <c r="AC110" i="1" s="1"/>
  <c r="AD110" i="1" s="1"/>
  <c r="AE110" i="1" s="1"/>
  <c r="AF110" i="1" s="1"/>
  <c r="R110" i="1"/>
  <c r="S110" i="1" s="1"/>
  <c r="T110" i="1" s="1"/>
  <c r="U110" i="1" s="1"/>
  <c r="V110" i="1" s="1"/>
  <c r="W110" i="1" s="1"/>
  <c r="X110" i="1" s="1"/>
  <c r="AA109" i="1"/>
  <c r="AB109" i="1" s="1"/>
  <c r="AC109" i="1" s="1"/>
  <c r="Z109" i="1"/>
  <c r="Y109" i="1"/>
  <c r="X109" i="1"/>
  <c r="W109" i="1"/>
  <c r="V109" i="1"/>
  <c r="U109" i="1"/>
  <c r="T109" i="1"/>
  <c r="L109" i="1"/>
  <c r="U108" i="1"/>
  <c r="S106" i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R104" i="1"/>
  <c r="Q103" i="1"/>
  <c r="R103" i="1" s="1"/>
  <c r="P102" i="1"/>
  <c r="Q102" i="1" s="1"/>
  <c r="R102" i="1" s="1"/>
  <c r="O102" i="1"/>
  <c r="N102" i="1"/>
  <c r="M102" i="1"/>
  <c r="L102" i="1"/>
  <c r="K102" i="1"/>
  <c r="J102" i="1"/>
  <c r="I102" i="1"/>
  <c r="H102" i="1"/>
  <c r="G102" i="1"/>
  <c r="F102" i="1"/>
  <c r="E102" i="1"/>
  <c r="R101" i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Q100" i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P100" i="1"/>
  <c r="O100" i="1"/>
  <c r="N100" i="1"/>
  <c r="M100" i="1"/>
  <c r="L100" i="1"/>
  <c r="K100" i="1"/>
  <c r="J100" i="1"/>
  <c r="I100" i="1"/>
  <c r="H100" i="1"/>
  <c r="G100" i="1"/>
  <c r="F100" i="1"/>
  <c r="E100" i="1"/>
  <c r="V99" i="1"/>
  <c r="W99" i="1" s="1"/>
  <c r="X99" i="1" s="1"/>
  <c r="Y99" i="1" s="1"/>
  <c r="Z99" i="1" s="1"/>
  <c r="AA99" i="1" s="1"/>
  <c r="AB99" i="1" s="1"/>
  <c r="T98" i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F97" i="1"/>
  <c r="AE97" i="1"/>
  <c r="AD97" i="1"/>
  <c r="S96" i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I96" i="1"/>
  <c r="Q95" i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P95" i="1"/>
  <c r="O95" i="1"/>
  <c r="N95" i="1"/>
  <c r="M95" i="1"/>
  <c r="L95" i="1"/>
  <c r="K95" i="1"/>
  <c r="J95" i="1"/>
  <c r="I95" i="1"/>
  <c r="H95" i="1"/>
  <c r="G95" i="1"/>
  <c r="AB94" i="1"/>
  <c r="AC94" i="1" s="1"/>
  <c r="AD94" i="1" s="1"/>
  <c r="Y94" i="1"/>
  <c r="R93" i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Q93" i="1"/>
  <c r="R92" i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S91" i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R90" i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F90" i="1"/>
  <c r="S89" i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P89" i="1"/>
  <c r="S88" i="1"/>
  <c r="T88" i="1" s="1"/>
  <c r="U88" i="1" s="1"/>
  <c r="V88" i="1" s="1"/>
  <c r="W88" i="1" s="1"/>
  <c r="X88" i="1" s="1"/>
  <c r="Y88" i="1" s="1"/>
  <c r="Z88" i="1" s="1"/>
  <c r="AA88" i="1" s="1"/>
  <c r="AB88" i="1" s="1"/>
  <c r="E88" i="1"/>
  <c r="T87" i="1"/>
  <c r="U87" i="1" s="1"/>
  <c r="V87" i="1" s="1"/>
  <c r="W87" i="1" s="1"/>
  <c r="X87" i="1" s="1"/>
  <c r="Y87" i="1" s="1"/>
  <c r="Z87" i="1" s="1"/>
  <c r="AA87" i="1" s="1"/>
  <c r="AB87" i="1" s="1"/>
  <c r="R86" i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R85" i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P83" i="1"/>
  <c r="Q83" i="1" s="1"/>
  <c r="O83" i="1"/>
  <c r="N83" i="1"/>
  <c r="M83" i="1"/>
  <c r="L83" i="1"/>
  <c r="K83" i="1"/>
  <c r="J83" i="1"/>
  <c r="I83" i="1"/>
  <c r="H83" i="1"/>
  <c r="G83" i="1"/>
  <c r="F83" i="1"/>
  <c r="T82" i="1"/>
  <c r="U82" i="1" s="1"/>
  <c r="V82" i="1" s="1"/>
  <c r="W82" i="1" s="1"/>
  <c r="S81" i="1"/>
  <c r="T81" i="1" s="1"/>
  <c r="U81" i="1" s="1"/>
  <c r="V81" i="1" s="1"/>
  <c r="W81" i="1" s="1"/>
  <c r="R81" i="1"/>
  <c r="Q81" i="1"/>
  <c r="P81" i="1"/>
  <c r="O81" i="1"/>
  <c r="N81" i="1"/>
  <c r="M81" i="1"/>
  <c r="L81" i="1"/>
  <c r="K81" i="1"/>
  <c r="J81" i="1"/>
  <c r="I81" i="1"/>
  <c r="U80" i="1"/>
  <c r="V80" i="1" s="1"/>
  <c r="W80" i="1" s="1"/>
  <c r="X80" i="1" s="1"/>
  <c r="Y80" i="1" s="1"/>
  <c r="Z80" i="1" s="1"/>
  <c r="AA80" i="1" s="1"/>
  <c r="R79" i="1"/>
  <c r="S79" i="1" s="1"/>
  <c r="T79" i="1" s="1"/>
  <c r="U79" i="1" s="1"/>
  <c r="V79" i="1" s="1"/>
  <c r="W79" i="1" s="1"/>
  <c r="X79" i="1" s="1"/>
  <c r="Y79" i="1" s="1"/>
  <c r="Z79" i="1" s="1"/>
  <c r="AA79" i="1" s="1"/>
  <c r="T78" i="1"/>
  <c r="U78" i="1" s="1"/>
  <c r="V78" i="1" s="1"/>
  <c r="W78" i="1" s="1"/>
  <c r="X78" i="1" s="1"/>
  <c r="E78" i="1"/>
  <c r="U77" i="1"/>
  <c r="V77" i="1" s="1"/>
  <c r="W77" i="1" s="1"/>
  <c r="X77" i="1" s="1"/>
  <c r="Y77" i="1" s="1"/>
  <c r="Z77" i="1" s="1"/>
  <c r="AA77" i="1" s="1"/>
  <c r="R76" i="1"/>
  <c r="S76" i="1" s="1"/>
  <c r="T76" i="1" s="1"/>
  <c r="U76" i="1" s="1"/>
  <c r="V76" i="1" s="1"/>
  <c r="W76" i="1" s="1"/>
  <c r="X76" i="1" s="1"/>
  <c r="Y76" i="1" s="1"/>
  <c r="Z76" i="1" s="1"/>
  <c r="R75" i="1"/>
  <c r="S75" i="1" s="1"/>
  <c r="T75" i="1" s="1"/>
  <c r="U75" i="1" s="1"/>
  <c r="V75" i="1" s="1"/>
  <c r="W75" i="1" s="1"/>
  <c r="X75" i="1" s="1"/>
  <c r="Y75" i="1" s="1"/>
  <c r="Z75" i="1" s="1"/>
  <c r="I75" i="1"/>
  <c r="G75" i="1"/>
  <c r="Q74" i="1"/>
  <c r="R74" i="1" s="1"/>
  <c r="S74" i="1" s="1"/>
  <c r="T74" i="1" s="1"/>
  <c r="U74" i="1" s="1"/>
  <c r="V74" i="1" s="1"/>
  <c r="W74" i="1" s="1"/>
  <c r="X74" i="1" s="1"/>
  <c r="Y74" i="1" s="1"/>
  <c r="Z74" i="1" s="1"/>
  <c r="R72" i="1"/>
  <c r="S72" i="1" s="1"/>
  <c r="T72" i="1" s="1"/>
  <c r="U72" i="1" s="1"/>
  <c r="V72" i="1" s="1"/>
  <c r="W72" i="1" s="1"/>
  <c r="X72" i="1" s="1"/>
  <c r="Y72" i="1" s="1"/>
  <c r="S71" i="1"/>
  <c r="T71" i="1" s="1"/>
  <c r="U71" i="1" s="1"/>
  <c r="V71" i="1" s="1"/>
  <c r="W71" i="1" s="1"/>
  <c r="X71" i="1" s="1"/>
  <c r="Y71" i="1" s="1"/>
  <c r="R70" i="1"/>
  <c r="S70" i="1" s="1"/>
  <c r="T70" i="1" s="1"/>
  <c r="U70" i="1" s="1"/>
  <c r="V70" i="1" s="1"/>
  <c r="W70" i="1" s="1"/>
  <c r="X70" i="1" s="1"/>
  <c r="R69" i="1"/>
  <c r="S69" i="1" s="1"/>
  <c r="T69" i="1" s="1"/>
  <c r="U69" i="1" s="1"/>
  <c r="V69" i="1" s="1"/>
  <c r="W69" i="1" s="1"/>
  <c r="R68" i="1"/>
  <c r="S68" i="1" s="1"/>
  <c r="T68" i="1" s="1"/>
  <c r="U68" i="1" s="1"/>
  <c r="V68" i="1" s="1"/>
  <c r="W68" i="1" s="1"/>
  <c r="X68" i="1" s="1"/>
  <c r="Y68" i="1" s="1"/>
  <c r="K68" i="1"/>
  <c r="E68" i="1"/>
  <c r="R67" i="1"/>
  <c r="S67" i="1" s="1"/>
  <c r="T67" i="1" s="1"/>
  <c r="U67" i="1" s="1"/>
  <c r="V67" i="1" s="1"/>
  <c r="W67" i="1" s="1"/>
  <c r="X67" i="1" s="1"/>
  <c r="H67" i="1"/>
  <c r="U66" i="1"/>
  <c r="V66" i="1" s="1"/>
  <c r="W66" i="1" s="1"/>
  <c r="X66" i="1" s="1"/>
  <c r="R66" i="1"/>
  <c r="S66" i="1" s="1"/>
  <c r="Q66" i="1"/>
  <c r="N66" i="1"/>
  <c r="U65" i="1"/>
  <c r="V65" i="1" s="1"/>
  <c r="W65" i="1" s="1"/>
  <c r="X65" i="1" s="1"/>
  <c r="Y65" i="1" s="1"/>
  <c r="Y64" i="1"/>
  <c r="X64" i="1"/>
  <c r="W64" i="1"/>
  <c r="V64" i="1"/>
  <c r="U64" i="1"/>
  <c r="T64" i="1"/>
  <c r="Y63" i="1"/>
  <c r="X63" i="1"/>
  <c r="W63" i="1"/>
  <c r="V63" i="1"/>
  <c r="U63" i="1"/>
  <c r="T63" i="1"/>
  <c r="Y62" i="1"/>
  <c r="X62" i="1"/>
  <c r="W62" i="1"/>
  <c r="V62" i="1"/>
  <c r="U62" i="1"/>
  <c r="T62" i="1"/>
  <c r="Y61" i="1"/>
  <c r="X61" i="1"/>
  <c r="W61" i="1"/>
  <c r="V61" i="1"/>
  <c r="U61" i="1"/>
  <c r="T61" i="1"/>
  <c r="Q60" i="1"/>
  <c r="R60" i="1" s="1"/>
  <c r="S60" i="1" s="1"/>
  <c r="T60" i="1" s="1"/>
  <c r="U60" i="1" s="1"/>
  <c r="V60" i="1" s="1"/>
  <c r="P60" i="1"/>
  <c r="O60" i="1"/>
  <c r="N60" i="1"/>
  <c r="M60" i="1"/>
  <c r="L60" i="1"/>
  <c r="K60" i="1"/>
  <c r="J60" i="1"/>
  <c r="I60" i="1"/>
  <c r="Q59" i="1"/>
  <c r="R59" i="1" s="1"/>
  <c r="S59" i="1" s="1"/>
  <c r="T59" i="1" s="1"/>
  <c r="U59" i="1" s="1"/>
  <c r="V59" i="1" s="1"/>
  <c r="P59" i="1"/>
  <c r="O59" i="1"/>
  <c r="N59" i="1"/>
  <c r="M59" i="1"/>
  <c r="L59" i="1"/>
  <c r="Q58" i="1"/>
  <c r="R58" i="1" s="1"/>
  <c r="S58" i="1" s="1"/>
  <c r="T58" i="1" s="1"/>
  <c r="U58" i="1" s="1"/>
  <c r="V58" i="1" s="1"/>
  <c r="Q57" i="1"/>
  <c r="R57" i="1" s="1"/>
  <c r="S57" i="1" s="1"/>
  <c r="T57" i="1" s="1"/>
  <c r="U57" i="1" s="1"/>
  <c r="V57" i="1" s="1"/>
  <c r="R56" i="1"/>
  <c r="S56" i="1" s="1"/>
  <c r="T56" i="1" s="1"/>
  <c r="U56" i="1" s="1"/>
  <c r="V56" i="1" s="1"/>
  <c r="Q56" i="1"/>
  <c r="T55" i="1"/>
  <c r="O55" i="1"/>
  <c r="S54" i="1"/>
  <c r="T54" i="1" s="1"/>
  <c r="U54" i="1" s="1"/>
  <c r="R53" i="1"/>
  <c r="S52" i="1"/>
  <c r="T52" i="1" s="1"/>
  <c r="P52" i="1"/>
  <c r="Q51" i="1"/>
  <c r="R51" i="1" s="1"/>
  <c r="S51" i="1" s="1"/>
  <c r="T51" i="1" s="1"/>
  <c r="U51" i="1" s="1"/>
  <c r="P51" i="1"/>
  <c r="O51" i="1"/>
  <c r="N51" i="1"/>
  <c r="M51" i="1"/>
  <c r="L51" i="1"/>
  <c r="K51" i="1"/>
  <c r="J51" i="1"/>
  <c r="I51" i="1"/>
  <c r="H51" i="1"/>
  <c r="G51" i="1"/>
  <c r="F51" i="1"/>
  <c r="E51" i="1"/>
  <c r="S50" i="1"/>
  <c r="N50" i="1"/>
  <c r="L50" i="1"/>
  <c r="T49" i="1"/>
  <c r="T48" i="1"/>
  <c r="R47" i="1"/>
  <c r="S47" i="1" s="1"/>
  <c r="T47" i="1" s="1"/>
  <c r="R45" i="1"/>
  <c r="R44" i="1"/>
  <c r="S43" i="1"/>
  <c r="R42" i="1"/>
  <c r="H40" i="1"/>
  <c r="E40" i="1"/>
  <c r="K38" i="1"/>
  <c r="P37" i="1"/>
  <c r="O37" i="1"/>
  <c r="J37" i="1"/>
  <c r="E31" i="1"/>
  <c r="J29" i="1"/>
  <c r="I29" i="1"/>
  <c r="H29" i="1"/>
  <c r="G29" i="1"/>
  <c r="F29" i="1"/>
  <c r="E29" i="1"/>
  <c r="F12" i="1"/>
  <c r="E12" i="1"/>
  <c r="AZ3" i="1"/>
  <c r="AY3" i="1"/>
  <c r="AX3" i="1"/>
  <c r="AW3" i="1"/>
  <c r="AV3" i="1"/>
  <c r="AU3" i="1"/>
  <c r="AZ2" i="1"/>
  <c r="AY2" i="1"/>
  <c r="AX2" i="1"/>
  <c r="AW2" i="1"/>
  <c r="G2" i="1"/>
  <c r="L2" i="1" l="1"/>
  <c r="I2" i="1"/>
  <c r="H2" i="1"/>
  <c r="O2" i="1"/>
  <c r="P2" i="1"/>
  <c r="J2" i="1"/>
  <c r="E2" i="1"/>
  <c r="K2" i="1"/>
  <c r="W2" i="1"/>
  <c r="X2" i="1"/>
  <c r="AT3" i="1"/>
  <c r="AT2" i="1"/>
  <c r="AP132" i="1"/>
  <c r="AO3" i="1"/>
  <c r="AO2" i="1"/>
  <c r="AE2" i="1"/>
  <c r="AE3" i="1"/>
  <c r="AN123" i="1"/>
  <c r="AM3" i="1"/>
  <c r="AM2" i="1"/>
  <c r="AQ3" i="1"/>
  <c r="AQ2" i="1"/>
  <c r="AR3" i="1"/>
  <c r="AR2" i="1"/>
  <c r="Y2" i="1"/>
  <c r="R83" i="1"/>
  <c r="S83" i="1" s="1"/>
  <c r="T83" i="1" s="1"/>
  <c r="U83" i="1" s="1"/>
  <c r="V83" i="1" s="1"/>
  <c r="Q2" i="1"/>
  <c r="AF3" i="1"/>
  <c r="Z2" i="1"/>
  <c r="AA2" i="1"/>
  <c r="AG98" i="1"/>
  <c r="AF2" i="1"/>
  <c r="AS3" i="1"/>
  <c r="AS2" i="1"/>
  <c r="V2" i="1"/>
  <c r="AD3" i="1"/>
  <c r="AD2" i="1"/>
  <c r="AI3" i="1"/>
  <c r="AI2" i="1"/>
  <c r="AJ111" i="1"/>
  <c r="AB2" i="1"/>
  <c r="AC3" i="1"/>
  <c r="AC2" i="1"/>
  <c r="AL119" i="1"/>
  <c r="AK3" i="1"/>
  <c r="AK2" i="1"/>
  <c r="F2" i="1"/>
  <c r="T50" i="1"/>
  <c r="U50" i="1" s="1"/>
  <c r="M2" i="1"/>
  <c r="N2" i="1"/>
  <c r="S2" i="1" l="1"/>
  <c r="AL3" i="1"/>
  <c r="AL2" i="1"/>
  <c r="AP3" i="1"/>
  <c r="AP2" i="1"/>
  <c r="U2" i="1"/>
  <c r="AJ2" i="1"/>
  <c r="AJ3" i="1"/>
  <c r="T2" i="1"/>
  <c r="AN3" i="1"/>
  <c r="AN2" i="1"/>
  <c r="R2" i="1"/>
  <c r="AH98" i="1"/>
  <c r="AG3" i="1"/>
  <c r="AG2" i="1"/>
  <c r="AH3" i="1" l="1"/>
  <c r="A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tc={654D572F-B770-E14F-806D-6DC40C1B5E5F}</author>
    <author>tc={30D2F569-2F38-8647-B3FB-497A2196A7F6}</author>
    <author>tc={2A70E741-6FBE-3F4A-8F0F-F5B113D17309}</author>
    <author>tc={9A2FCBCA-6F51-E14E-8394-35FBA7933A15}</author>
    <author>tc={6C514631-4CB7-214D-B3D2-2E127550594C}</author>
    <author>tc={35D78D3A-418B-5D42-BEA8-E037789A13EA}</author>
    <author>tc={81B9EF95-0151-BD47-8B11-6953C38C26BB}</author>
    <author>tc={CC2CB505-8AB0-1C42-B445-E8726EC69452}</author>
    <author>tc={07C077E3-FB33-2C47-911D-95579C8FD568}</author>
    <author>tc={97D3621C-28F2-2045-924D-D732475CEB04}</author>
    <author>tc={F1165379-6C58-394B-9A78-E2106E24C126}</author>
    <author>tc={0B9D28E3-05D6-0A4B-A1FE-A0C2093D11A8}</author>
    <author>tc={71018561-B42E-6D43-A59D-528E985F3063}</author>
    <author>tc={0E1D937A-C280-804E-B586-2A27DD4A6CF0}</author>
    <author>tc={FA0696D1-C5D8-524A-94D6-777E0980073F}</author>
    <author>tc={E909968C-0FB6-3345-B22F-6EFC0BC24A8F}</author>
    <author>tc={0DDC10F6-7A06-7F49-8A93-0E79F1F97870}</author>
    <author>tc={12A10F79-E785-7C49-8CB4-457A9CA1C531}</author>
    <author>tc={CC0FFC4E-408F-8A4D-82E2-24F3D14BF118}</author>
    <author>tc={BE0CAAC2-5B2C-E848-A024-FCC63F07BD67}</author>
    <author>tc={F67123A5-8D69-3948-9B30-9F56547E49A6}</author>
    <author>tc={12C09628-8D8F-0144-B508-857DB170FCF8}</author>
    <author>tc={B26B02A6-6A24-CA43-8737-40C4A3249989}</author>
    <author>tc={0E7EA3D2-5947-1D45-8F29-5F5E11997FC6}</author>
    <author>tc={10C748B1-0A44-2040-8BDA-E9940DA24FD9}</author>
    <author>tc={DF82E842-B71D-BD40-9ABD-5E06DFBE2ADD}</author>
    <author>tc={B6F8CAE1-D3C8-EB42-837A-83C5A651D4FB}</author>
    <author>tc={00837897-B3A7-0442-AF65-17FB2DEA1EDA}</author>
    <author>tc={5DEBDBA9-7BEA-C246-86F9-DEA3974B32ED}</author>
    <author>tc={91E2DFA9-1ACB-E744-B0FF-97576CDD304B}</author>
    <author>tc={A007D6E8-62F3-CB4E-9754-4286F7C720F0}</author>
    <author>tc={932DB7E0-C45A-3547-A6D5-F8758FBEBDBC}</author>
    <author>tc={2066925B-2781-9E4C-9637-5851688688E3}</author>
    <author>tc={8A0F19B4-1422-E549-80C8-B4AF35B7D752}</author>
    <author>tc={AC804A90-6214-894A-83CD-80C39B8216CC}</author>
    <author>tc={8BAB7649-82BA-684A-A8B6-34680C29A1AE}</author>
    <author>tc={0C5CAC90-3D2E-CD40-A4E5-853B78BA6C05}</author>
    <author>tc={582B7D48-72D7-3C4B-BF94-5B4EB6D96064}</author>
    <author>tc={129CEA71-5B2D-FF44-A3BE-31EBF0AC3A8E}</author>
    <author>tc={1141D4FD-E160-3647-9A4B-FCCA1E473411}</author>
    <author>tc={4AD4EAD7-87D1-9A42-BC37-3D47623C6B42}</author>
    <author>tc={9160FBFB-BFCE-5B4D-986D-617B7882A623}</author>
    <author>tc={3DF3CA6D-C7D5-894B-B4D4-29075EEF3B04}</author>
    <author>tc={25405691-3C0D-A149-BC62-4E6F2FC2D586}</author>
    <author>tc={3A3A3371-AFDE-ED41-AD73-FA395F01429F}</author>
    <author>tc={86B4C4E1-C3A4-2C48-97C3-A91B96234334}</author>
    <author>tc={26F51806-E4C7-6845-A91C-A7708EC70809}</author>
    <author>tc={24F7F2D3-2F95-1044-A813-C013A6C187F1}</author>
    <author>tc={5215DFF4-A230-F94D-BCE8-CF48CF049F84}</author>
    <author>tc={3EE3E03B-6FFF-B443-9E8D-BB388588653D}</author>
    <author>tc={71FBDF2C-27EA-4749-81EB-11EAC442C013}</author>
    <author>tc={46B91D4D-3E46-2246-A027-06D72CEEF9A9}</author>
    <author>tc={19355406-4DFE-8140-9AC1-515FFE3BC029}</author>
    <author>tc={F2620687-6212-874E-BEA6-4036A5BC962B}</author>
    <author>tc={8DABC58E-8E99-394D-B566-A10937C0BF0D}</author>
    <author>tc={A49731F1-3A6F-934A-A8AA-A59E56A4C8E5}</author>
    <author>tc={B499EF35-96DB-3E42-B0C9-120B6CE72193}</author>
    <author>tc={965BC709-43B1-494B-B6E8-34051C0D3456}</author>
    <author>tc={3734F4B4-A634-BE4B-9081-C277E6A55F93}</author>
    <author>tc={D8E22521-4113-F143-A9E1-DD6CE8E59535}</author>
    <author>tc={B8719FAF-84C0-1749-A259-A23C43A9F51F}</author>
    <author>tc={DD661895-FBE8-1D44-9AD0-53BEDD54C1C3}</author>
    <author>tc={C1E3BFAD-7B50-DE49-B8B5-B6C934707537}</author>
    <author>tc={0E17754A-6F32-3E40-A67F-AE1940EFDEA3}</author>
    <author>tc={856B3EC7-A9CF-E348-843F-BCDC50474BF9}</author>
    <author>tc={A414CB48-C33B-144B-8C36-4FF4FDC6BF26}</author>
    <author>tc={3BE5F3E3-B17A-F44F-A0E2-0B6CBE1B2316}</author>
    <author>tc={4EE55947-7ECF-E743-8820-5E8F351D7A85}</author>
    <author>tc={A1B84BE4-CD4C-534B-BAF0-5301680347BB}</author>
    <author>tc={88C6FDC2-6406-8143-9A68-5A219A8CD8F4}</author>
    <author>tc={A9FE6305-ECE6-E44F-9E8F-02789E3C6B95}</author>
    <author>tc={BE3F17D9-B9C2-3041-81C0-414538B41877}</author>
    <author>tc={D421EC11-75A0-8840-BEAE-563800081D70}</author>
    <author>tc={187597D3-4BB2-5445-ACD2-8ACC61701C89}</author>
    <author>tc={2B03D74E-AA2F-DC49-AD0D-58AEBF9DED45}</author>
    <author>tc={81387DB3-5F8D-3B40-B7AE-7FD8BBDD8BAB}</author>
    <author>tc={6FDBC147-A34C-894B-9637-9902BF93B7E4}</author>
    <author>tc={59191915-0BE9-D24E-A3C4-4B2B6670C34B}</author>
    <author>tc={39C754CE-5EC1-C74D-97A7-277F71A682D5}</author>
    <author>tc={C311766F-32F9-8742-A065-4ECB2935B5DC}</author>
    <author>tc={D02CE754-F3BA-C342-A380-B9808E8774C9}</author>
    <author>tc={48DAD31E-4379-BE49-AE72-11703897E6B0}</author>
    <author>tc={5C4BC434-42B6-CF44-A57B-A6650BB89380}</author>
    <author>tc={3D12B392-90AD-6146-9194-17C42FD85DB7}</author>
    <author>tc={7303FFC4-EC42-774C-8A1D-3CBD885A5AA9}</author>
    <author>tc={0844AD5A-7A33-7A4A-90C0-3FEE0824DDCC}</author>
    <author>tc={A7DB625A-833C-3043-86F3-7A50CF6E69F6}</author>
    <author>tc={63A2B638-257D-5748-904E-7EC66DA9A43A}</author>
    <author>tc={1047ED95-7B9D-3B4B-B1A5-77D5EB733AB3}</author>
    <author>tc={C2EE6D6A-527E-DD4C-A7BC-7620C92F6803}</author>
    <author>tc={C15ADBF5-6CD3-6B4E-AE11-DA237795DC9F}</author>
    <author>tc={AAA29239-F144-744E-90E7-4C9ACCA8F155}</author>
    <author>tc={BDA0E555-4D9E-A249-9B8C-8FF9DEA14B6B}</author>
    <author>tc={83402CE8-D3D1-C74E-8D99-03C820EC601F}</author>
    <author>tc={806D44E5-F3BD-F44E-B4E7-37D28591E9FC}</author>
    <author>tc={960C5F71-4619-CC4D-B4CF-E08D45852849}</author>
    <author>tc={D87C20BD-010F-BE44-8DFB-E1F480934165}</author>
    <author>tc={998D3F06-C955-5B4B-9696-EEA66DB79DD2}</author>
    <author>tc={4A584B6C-E9C0-3746-8D04-47BADC60DA8E}</author>
    <author>tc={52620AB8-E9A1-7944-A198-021FC8C09DE9}</author>
    <author>tc={392960D7-E0C8-0645-8054-650B4E1D48E0}</author>
    <author>tc={B52E7A38-6C2E-F941-941D-5947755406FB}</author>
    <author>tc={61800963-23DD-B845-AD6F-FABA70EA0D7B}</author>
    <author>tc={F7A67D6F-3E17-2B41-B96A-DFB393CB1A96}</author>
    <author>tc={1BB510ED-69D3-714C-B509-A5EE487A21E4}</author>
    <author>tc={484F3C6B-0007-E14E-9CD8-14B721A3A080}</author>
    <author>tc={040E916C-DC1A-B349-93F3-93FB32A059CB}</author>
    <author>tc={A7783CBF-52E7-0C40-A9B0-FF176283A532}</author>
    <author>tc={D786F6A3-3E6C-6C4D-B42B-BB4A73EACD3B}</author>
    <author>tc={6B098231-C573-034C-BF0C-6C95B486C7A4}</author>
    <author>tc={FBBE20D8-5240-6D4F-ADB7-9217578D3602}</author>
    <author>tc={A8E89848-92C8-5A4E-ABAD-43A0151D123F}</author>
    <author>tc={4143031E-5475-1849-B21D-1EC62555F756}</author>
    <author>tc={8EA5C376-3850-6F41-B594-7F2119598248}</author>
    <author>tc={98A5AE0C-6E1D-434C-B5F3-BA2F595EA5D2}</author>
    <author>tc={CCAC9F4E-3F57-9E49-A691-01100313DC2C}</author>
    <author>tc={CFA90144-0503-9A47-8C86-84757C309498}</author>
    <author>tc={E51B30FA-B01E-D245-8B9C-2A3EBB1AE120}</author>
    <author>tc={672494CA-2420-034E-AA0E-67185CD42C47}</author>
    <author>tc={C63AB574-BA76-794C-A06B-EBC9ADD71CBF}</author>
    <author>tc={137AB182-D235-2646-A4AC-6AC531C0A749}</author>
    <author>tc={DDA2B24B-C4A7-824E-A094-9EFDEC0A68D5}</author>
    <author>tc={99E64F12-3AA4-C144-8210-97D8CFF4F7A8}</author>
    <author>tc={CF6BAF3E-0964-6349-ACD5-8BEE9A235C1A}</author>
    <author>tc={2B716A2B-8BB4-4246-B4D7-16777F968461}</author>
    <author>tc={50E32657-8226-3744-A06C-48662A273979}</author>
    <author>tc={9FAD4E5A-173C-674F-9116-352F307E3EDB}</author>
    <author>tc={9C87AD74-BD10-AA4F-9C8F-84FD779C1AD1}</author>
    <author>tc={FF6C7D65-ABA8-7F4A-8F09-52678923A972}</author>
    <author>tc={A1A331F3-1529-B74B-A5B7-3F0BAF8E97A3}</author>
    <author>tc={00DAB187-1561-3545-BC2F-88945DAE9097}</author>
    <author>tc={6B9598A3-D514-574D-86C2-2C1D914C1866}</author>
    <author>tc={3731BD4E-0E65-CE4D-BC3A-F49846A327CB}</author>
    <author>tc={403E9149-8469-F04A-B82D-907C78902F25}</author>
    <author>tc={1E487052-F29C-494D-B69B-0B440D9D5849}</author>
    <author>tc={3B96EDA4-51CE-F140-9D7A-9CCC98FE751A}</author>
    <author>tc={6E355EED-485B-6746-9259-9337B49DF57E}</author>
    <author>tc={F4F0384E-B6FB-6046-8C18-A5CDF903B980}</author>
    <author>tc={B57D9576-8743-1746-8F3A-848B798240E1}</author>
    <author>tc={25DCC340-7340-E64B-B66B-B1C10219A1C2}</author>
    <author>tc={9729F480-0CE0-9648-848E-19559888B308}</author>
    <author>tc={F940E794-DB9A-9443-989A-B71BD4CF6F68}</author>
    <author>tc={1B9A2DCC-988A-D643-881A-75CD978992DC}</author>
    <author>tc={3EDC6814-F82C-0E4A-9F2C-5D51B6D6A7CF}</author>
    <author>tc={87050FEE-3B7D-EE4A-8C4F-EBC2E650C4B0}</author>
  </authors>
  <commentList>
    <comment ref="E5" authorId="0" shapeId="0" xr:uid="{654D572F-B770-E14F-806D-6DC40C1B5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dane:
Specjalistyczna Poradnia Lekarska Alicja Karney Sp.zoo
ul. Rydygiera 13
01-793 Warszawa
NIP 5252817967, Regon - 385752010
KRS - 0000833290</t>
      </text>
    </comment>
    <comment ref="N5" authorId="1" shapeId="0" xr:uid="{30D2F569-2F38-8647-B3FB-497A2196A7F6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ustalic z Izą, czy wystawiay czy wylaczamy</t>
      </text>
    </comment>
    <comment ref="E9" authorId="2" shapeId="0" xr:uid="{2A70E741-6FBE-3F4A-8F0F-F5B113D17309}">
      <text>
        <t>[Threaded comment]
Your version of Excel allows you to read this threaded comment; however, any edits to it will get removed if the file is opened in a newer version of Excel. Learn more: https://go.microsoft.com/fwlink/?linkid=870924
Comment:
    Nie wystawiac, ustalone z iza</t>
      </text>
    </comment>
    <comment ref="F9" authorId="3" shapeId="0" xr:uid="{9A2FCBCA-6F51-E14E-8394-35FBA7933A15}">
      <text>
        <t>[Threaded comment]
Your version of Excel allows you to read this threaded comment; however, any edits to it will get removed if the file is opened in a newer version of Excel. Learn more: https://go.microsoft.com/fwlink/?linkid=870924
Comment:
    Nie wystawiac, ustalone z iza
Reply:
    ustalone z Danielem</t>
      </text>
    </comment>
    <comment ref="E15" authorId="4" shapeId="0" xr:uid="{6C514631-4CB7-214D-B3D2-2E12755059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dane: AM MEDIC sp. z o. o. ul. Pokrzywno 26B, 61-315 Poznań, NIP 7812018749, REGON: 388401095</t>
      </text>
    </comment>
    <comment ref="K17" authorId="5" shapeId="0" xr:uid="{35D78D3A-418B-5D42-BEA8-E037789A13EA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korekta na 0 zł</t>
      </text>
    </comment>
    <comment ref="H26" authorId="6" shapeId="0" xr:uid="{81B9EF95-0151-BD47-8B11-6953C38C26BB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iza</t>
      </text>
    </comment>
    <comment ref="G27" authorId="7" shapeId="0" xr:uid="{CC2CB505-8AB0-1C42-B445-E8726EC69452}">
      <text>
        <t>[Threaded comment]
Your version of Excel allows you to read this threaded comment; however, any edits to it will get removed if the file is opened in a newer version of Excel. Learn more: https://go.microsoft.com/fwlink/?linkid=870924
Comment:
    znizka 100%</t>
      </text>
    </comment>
    <comment ref="H27" authorId="8" shapeId="0" xr:uid="{07C077E3-FB33-2C47-911D-95579C8FD568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iza</t>
      </text>
    </comment>
    <comment ref="E29" authorId="9" shapeId="0" xr:uid="{97D3621C-28F2-2045-924D-D732475CEB04}">
      <text>
        <t>[Threaded comment]
Your version of Excel allows you to read this threaded comment; however, any edits to it will get removed if the file is opened in a newer version of Excel. Learn more: https://go.microsoft.com/fwlink/?linkid=870924
Comment:
    zgłoszenie od Piotra Palicy 29.11.2021</t>
      </text>
    </comment>
    <comment ref="F29" authorId="10" shapeId="0" xr:uid="{F1165379-6C58-394B-9A78-E2106E24C126}">
      <text>
        <t>[Threaded comment]
Your version of Excel allows you to read this threaded comment; however, any edits to it will get removed if the file is opened in a newer version of Excel. Learn more: https://go.microsoft.com/fwlink/?linkid=870924
Comment:
    zgłoszenie od Bartka zielisnkiego 8.02.2022</t>
      </text>
    </comment>
    <comment ref="L32" authorId="11" shapeId="0" xr:uid="{0B9D28E3-05D6-0A4B-A1FE-A0C2093D11A8}">
      <text>
        <t>[Threaded comment]
Your version of Excel allows you to read this threaded comment; however, any edits to it will get removed if the file is opened in a newer version of Excel. Learn more: https://go.microsoft.com/fwlink/?linkid=870924
Comment:
    Od kiedy rezygnacja?</t>
      </text>
    </comment>
    <comment ref="I33" authorId="12" shapeId="0" xr:uid="{71018561-B42E-6D43-A59D-528E985F3063}">
      <text>
        <t>[Threaded comment]
Your version of Excel allows you to read this threaded comment; however, any edits to it will get removed if the file is opened in a newer version of Excel. Learn more: https://go.microsoft.com/fwlink/?linkid=870924
Comment:
    sprawdzic w umowie</t>
      </text>
    </comment>
    <comment ref="E35" authorId="13" shapeId="0" xr:uid="{0E1D937A-C280-804E-B586-2A27DD4A6CF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platnosc z gory na 12 miesiecy</t>
      </text>
    </comment>
    <comment ref="O36" authorId="14" shapeId="0" xr:uid="{FA0696D1-C5D8-524A-94D6-777E09800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przejście na Voip</t>
      </text>
    </comment>
    <comment ref="J37" authorId="15" shapeId="0" xr:uid="{E909968C-0FB6-3345-B22F-6EFC0BC24A8F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obniżenie abonamentu na 800 zł brutto do 31.12.2022</t>
      </text>
    </comment>
    <comment ref="K37" authorId="16" shapeId="0" xr:uid="{0DDC10F6-7A06-7F49-8A93-0E79F1F97870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obniżenie abonamentu na 800 zł brutto do 31.12.2022
Reply:
    Zoabczymy na czym stanie bo mają mieć za 0 do końca pazdziernika</t>
      </text>
    </comment>
    <comment ref="K38" authorId="17" shapeId="0" xr:uid="{12A10F79-E785-7C49-8CB4-457A9CA1C531}">
      <text>
        <t>[Threaded comment]
Your version of Excel allows you to read this threaded comment; however, any edits to it will get removed if the file is opened in a newer version of Excel. Learn more: https://go.microsoft.com/fwlink/?linkid=870924
Comment:
    jednorazowa znizka cyprian 15.07.2022</t>
      </text>
    </comment>
    <comment ref="E39" authorId="18" shapeId="0" xr:uid="{CC0FFC4E-408F-8A4D-82E2-24F3D14BF118}">
      <text>
        <t>[Threaded comment]
Your version of Excel allows you to read this threaded comment; however, any edits to it will get removed if the file is opened in a newer version of Excel. Learn more: https://go.microsoft.com/fwlink/?linkid=870924
Comment:
    aneks na nowa wartosc abonamentu</t>
      </text>
    </comment>
    <comment ref="G40" authorId="19" shapeId="0" xr:uid="{BE0CAAC2-5B2C-E848-A024-FCC63F07BD67}">
      <text>
        <t>[Threaded comment]
Your version of Excel allows you to read this threaded comment; however, any edits to it will get removed if the file is opened in a newer version of Excel. Learn more: https://go.microsoft.com/fwlink/?linkid=870924
Comment:
    zniżka udzielona przez Izę</t>
      </text>
    </comment>
    <comment ref="K43" authorId="20" shapeId="0" xr:uid="{F67123A5-8D69-3948-9B30-9F56547E49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dane, mail z 8.06.2022 od a.zielonka@sanatoriummarta.pl</t>
      </text>
    </comment>
    <comment ref="H48" authorId="21" shapeId="0" xr:uid="{12C09628-8D8F-0144-B508-857DB170FCF8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izą</t>
      </text>
    </comment>
    <comment ref="P50" authorId="22" shapeId="0" xr:uid="{B26B02A6-6A24-CA43-8737-40C4A3249989}">
      <text>
        <t>[Threaded comment]
Your version of Excel allows you to read this threaded comment; however, any edits to it will get removed if the file is opened in a newer version of Excel. Learn more: https://go.microsoft.com/fwlink/?linkid=870924
Comment:
    zniżka ze względu na awarie</t>
      </text>
    </comment>
    <comment ref="U55" authorId="23" shapeId="0" xr:uid="{0E7EA3D2-5947-1D45-8F29-5F5E11997FC6}">
      <text>
        <t>[Threaded comment]
Your version of Excel allows you to read this threaded comment; however, any edits to it will get removed if the file is opened in a newer version of Excel. Learn more: https://go.microsoft.com/fwlink/?linkid=870924
Comment:
    Uważać bo w automatycznych jest przesunięta data omyłkowo
Reply:
    Zmiana na VoIP</t>
      </text>
    </comment>
    <comment ref="I60" authorId="24" shapeId="0" xr:uid="{10C748B1-0A44-2040-8BDA-E9940DA24F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dodatkowe konto Karolina Ponikly 23.05.2022</t>
      </text>
    </comment>
    <comment ref="W61" authorId="25" shapeId="0" xr:uid="{DF82E842-B71D-BD40-9ABD-5E06DFBE2ADD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X61" authorId="26" shapeId="0" xr:uid="{B6F8CAE1-D3C8-EB42-837A-83C5A651D4FB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W62" authorId="27" shapeId="0" xr:uid="{00837897-B3A7-0442-AF65-17FB2DEA1EDA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X62" authorId="28" shapeId="0" xr:uid="{5DEBDBA9-7BEA-C246-86F9-DEA3974B32ED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W63" authorId="29" shapeId="0" xr:uid="{91E2DFA9-1ACB-E744-B0FF-97576CDD304B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X63" authorId="30" shapeId="0" xr:uid="{A007D6E8-62F3-CB4E-9754-4286F7C720F0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W64" authorId="31" shapeId="0" xr:uid="{932DB7E0-C45A-3547-A6D5-F8758FBEBDBC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X64" authorId="32" shapeId="0" xr:uid="{2066925B-2781-9E4C-9637-5851688688E3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S66" authorId="33" shapeId="0" xr:uid="{8A0F19B4-1422-E549-80C8-B4AF35B7D752}">
      <text>
        <t>[Threaded comment]
Your version of Excel allows you to read this threaded comment; however, any edits to it will get removed if the file is opened in a newer version of Excel. Learn more: https://go.microsoft.com/fwlink/?linkid=870924
Comment:
    Zniżka -20% awaria połączeń</t>
      </text>
    </comment>
    <comment ref="Q68" authorId="34" shapeId="0" xr:uid="{AC804A90-6214-894A-83CD-80C39B8216CC}">
      <text>
        <t>[Threaded comment]
Your version of Excel allows you to read this threaded comment; however, any edits to it will get removed if the file is opened in a newer version of Excel. Learn more: https://go.microsoft.com/fwlink/?linkid=870924
Comment:
    OD 01.01.23 CESJA - ZMIANA NA BELGRAVIA NIP: 9592055978</t>
      </text>
    </comment>
    <comment ref="Z68" authorId="35" shapeId="0" xr:uid="{8BAB7649-82BA-684A-A8B6-34680C29A1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Koniec umowy we wrześniu
</t>
      </text>
    </comment>
    <comment ref="J70" authorId="36" shapeId="0" xr:uid="{0C5CAC90-3D2E-CD40-A4E5-853B78BA6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 6 miesiacach 1000 netto</t>
      </text>
    </comment>
    <comment ref="G75" authorId="37" shapeId="0" xr:uid="{582B7D48-72D7-3C4B-BF94-5B4EB6D96064}">
      <text>
        <t>[Threaded comment]
Your version of Excel allows you to read this threaded comment; however, any edits to it will get removed if the file is opened in a newer version of Excel. Learn more: https://go.microsoft.com/fwlink/?linkid=870924
Comment:
    znizka ustalona z iza</t>
      </text>
    </comment>
    <comment ref="I75" authorId="38" shapeId="0" xr:uid="{129CEA71-5B2D-FF44-A3BE-31EBF0AC3A8E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iza</t>
      </text>
    </comment>
    <comment ref="E78" authorId="39" shapeId="0" xr:uid="{1141D4FD-E160-3647-9A4B-FCCA1E473411}">
      <text>
        <t>[Threaded comment]
Your version of Excel allows you to read this threaded comment; however, any edits to it will get removed if the file is opened in a newer version of Excel. Learn more: https://go.microsoft.com/fwlink/?linkid=870924
Comment:
    znizka od izy</t>
      </text>
    </comment>
    <comment ref="AB79" authorId="40" shapeId="0" xr:uid="{4AD4EAD7-87D1-9A42-BC37-3D47623C6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Ostania fv w 11.2023
</t>
      </text>
    </comment>
    <comment ref="AB80" authorId="41" shapeId="0" xr:uid="{9160FBFB-BFCE-5B4D-986D-617B7882A623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listopadzie</t>
      </text>
    </comment>
    <comment ref="I81" authorId="42" shapeId="0" xr:uid="{3DF3CA6D-C7D5-894B-B4D4-29075EEF3B04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dodatkowe konto Karolina Ponikły</t>
      </text>
    </comment>
    <comment ref="AC86" authorId="43" shapeId="0" xr:uid="{25405691-3C0D-A149-BC62-4E6F2FC2D586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Wypowiedzieli umowę, ostatnia fv 31/01</t>
      </text>
    </comment>
    <comment ref="AC87" authorId="44" shapeId="0" xr:uid="{3A3A3371-AFDE-ED41-AD73-FA395F01429F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Ostania fv w styczniu, wypowiedzieli umowę</t>
      </text>
    </comment>
    <comment ref="U89" authorId="45" shapeId="0" xr:uid="{86B4C4E1-C3A4-2C48-97C3-A91B96234334}">
      <text>
        <t>[Threaded comment]
Your version of Excel allows you to read this threaded comment; however, any edits to it will get removed if the file is opened in a newer version of Excel. Learn more: https://go.microsoft.com/fwlink/?linkid=870924
Comment:
    Upsell o jedno konto Białystok</t>
      </text>
    </comment>
    <comment ref="AD89" authorId="46" shapeId="0" xr:uid="{26F51806-E4C7-6845-A91C-A7708EC7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Ostania fv w lutym - złożyli wypowiedzenie</t>
      </text>
    </comment>
    <comment ref="AF90" authorId="47" shapeId="0" xr:uid="{24F7F2D3-2F95-1044-A813-C013A6C187F1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marcu</t>
      </text>
    </comment>
    <comment ref="AG91" authorId="48" shapeId="0" xr:uid="{5215DFF4-A230-F94D-BCE8-CF48CF049F84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kwetniu</t>
      </text>
    </comment>
    <comment ref="AA92" authorId="49" shapeId="0" xr:uid="{3EE3E03B-6FFF-B443-9E8D-BB388588653D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ZAM-237 dodatkowe dwa konta</t>
      </text>
    </comment>
    <comment ref="AC92" authorId="50" shapeId="0" xr:uid="{71FBDF2C-27EA-4749-81EB-11EAC442C013}">
      <text>
        <t>[Threaded comment]
Your version of Excel allows you to read this threaded comment; however, any edits to it will get removed if the file is opened in a newer version of Excel. Learn more: https://go.microsoft.com/fwlink/?linkid=870924
Comment:
    Od stycznia normalnie 716,45</t>
      </text>
    </comment>
    <comment ref="AE92" authorId="51" shapeId="0" xr:uid="{46B91D4D-3E46-2246-A027-06D72CEEF9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Ostatnia fv w marcu, wypowiedzenie </t>
      </text>
    </comment>
    <comment ref="AE93" authorId="52" shapeId="0" xr:uid="{19355406-4DFE-8140-9AC1-515FFE3BC0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Ostania fv w marcu. Złożyli wypowiedzenie (Do weryfikacji u Izy)
</t>
      </text>
    </comment>
    <comment ref="Z94" authorId="53" shapeId="0" xr:uid="{F2620687-6212-874E-BEA6-4036A5BC962B}">
      <text>
        <t>[Threaded comment]
Your version of Excel allows you to read this threaded comment; however, any edits to it will get removed if the file is opened in a newer version of Excel. Learn more: https://go.microsoft.com/fwlink/?linkid=870924
Comment:
    +1517,5 za 3 rate wdrożenia</t>
      </text>
    </comment>
    <comment ref="G95" authorId="54" shapeId="0" xr:uid="{8DABC58E-8E99-394D-B566-A10937C0BF0D}">
      <text>
        <t>[Threaded comment]
Your version of Excel allows you to read this threaded comment; however, any edits to it will get removed if the file is opened in a newer version of Excel. Learn more: https://go.microsoft.com/fwlink/?linkid=870924
Comment:
    Od: Aleksandra Dziekańska &lt;aleksandra.dziekanska@medidesk.com&gt;
Wysłane: poniedziałek, 14 lutego 2022 14:49
Do: Gabriela Lemauviel &lt;gabriela.lemauviel@medidesk.com&gt;; Katarzyna Jaryczewska &lt;katarzyna.jaryczewska@medidesk.com&gt;
DW: Administration &lt;administration@medidesk.com&gt;
Temat: Max Hemp: - nowe konto
Cześć, 
Placówka Max Hemp zdecydowała się na nowe konto do logowania dla rejestratorki, w związku z tym prośba o dodanie 159zł netto/ miesiąc do faktury.
Dziękuję 🙂 </t>
      </text>
    </comment>
    <comment ref="AF96" authorId="55" shapeId="0" xr:uid="{A49731F1-3A6F-934A-A8AA-A59E56A4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kwietniu, złożyli wypowiedzenie</t>
      </text>
    </comment>
    <comment ref="AG96" authorId="56" shapeId="0" xr:uid="{B499EF35-96DB-3E42-B0C9-120B6CE72193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kwetniu</t>
      </text>
    </comment>
    <comment ref="AG97" authorId="57" shapeId="0" xr:uid="{965BC709-43B1-494B-B6E8-34051C0D3456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maju, wypowiedzenie</t>
      </text>
    </comment>
    <comment ref="G100" authorId="58" shapeId="0" xr:uid="{3734F4B4-A634-BE4B-9081-C277E6A55F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Cześć, 
Stomatologia Sypień zwiększyła liczbę użytkowników Aplikacji o jedno dodatkowe konto. 
Bardzo proszę o uwzględnienie dodatkowej opłaty w miesięcznym abonamencie - 159 zł netto/miesiąc. 
Dziękuję i miłego dnia!
Karolina Ponikły
</t>
      </text>
    </comment>
    <comment ref="H102" authorId="59" shapeId="0" xr:uid="{D8E22521-4113-F143-A9E1-DD6CE8E59535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obniżka na 6 miesiecy</t>
      </text>
    </comment>
    <comment ref="J102" authorId="60" shapeId="0" xr:uid="{B8719FAF-84C0-1749-A259-A23C43A9F51F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wystawić 2 FV w wfirmie</t>
      </text>
    </comment>
    <comment ref="S105" authorId="61" shapeId="0" xr:uid="{DD661895-FBE8-1D44-9AD0-53BEDD54C1C3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100 zł do końca maja, potem normalnie 1000</t>
      </text>
    </comment>
    <comment ref="T105" authorId="62" shapeId="0" xr:uid="{C1E3BFAD-7B50-DE49-B8B5-B6C934707537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100 zł do końca maja, potem normalnie 1000</t>
      </text>
    </comment>
    <comment ref="U105" authorId="63" shapeId="0" xr:uid="{0E17754A-6F32-3E40-A67F-AE1940EFDEA3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100 zł do końca maja, potem normalnie 1000</t>
      </text>
    </comment>
    <comment ref="K106" authorId="64" shapeId="0" xr:uid="{856B3EC7-A9CF-E348-843F-BCDC50474B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przez pierwsze 24 miesiące z upustem: 1093,20 zł netto
po 24 miesiącach kwota docelowa: 1261,80 zł netto</t>
      </text>
    </comment>
    <comment ref="Q106" authorId="65" shapeId="0" xr:uid="{A414CB48-C33B-144B-8C36-4FF4FDC6BF26}">
      <text>
        <t>[Threaded comment]
Your version of Excel allows you to read this threaded comment; however, any edits to it will get removed if the file is opened in a newer version of Excel. Learn more: https://go.microsoft.com/fwlink/?linkid=870924
Comment:
    Wyjaśniana była awaria, nie nasza wina więc dalej wystawiamy</t>
      </text>
    </comment>
    <comment ref="AB108" authorId="66" shapeId="0" xr:uid="{3BE5F3E3-B17A-F44F-A0E2-0B6CBE1B2316}">
      <text>
        <t>[Threaded comment]
Your version of Excel allows you to read this threaded comment; however, any edits to it will get removed if the file is opened in a newer version of Excel. Learn more: https://go.microsoft.com/fwlink/?linkid=870924
Comment:
    Fakturowanie CDT Medicus Lublin</t>
      </text>
    </comment>
    <comment ref="AD109" authorId="67" shapeId="0" xr:uid="{4EE55947-7ECF-E743-8820-5E8F351D7A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dodane do wizyt domowych - nie rozdzielamy </t>
      </text>
    </comment>
    <comment ref="AI110" authorId="68" shapeId="0" xr:uid="{A1B84BE4-CD4C-534B-BAF0-53016803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W maju złożyli wypowiedzenie - weryfikacja</t>
      </text>
    </comment>
    <comment ref="AK111" authorId="69" shapeId="0" xr:uid="{88C6FDC2-6406-8143-9A68-5A219A8CD8F4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K112" authorId="70" shapeId="0" xr:uid="{A9FE6305-ECE6-E44F-9E8F-02789E3C6B95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K113" authorId="71" shapeId="0" xr:uid="{BE3F17D9-B9C2-3041-81C0-414538B41877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K114" authorId="72" shapeId="0" xr:uid="{D421EC11-75A0-8840-BEAE-563800081D70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K115" authorId="73" shapeId="0" xr:uid="{187597D3-4BB2-5445-ACD2-8ACC61701C89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D118" authorId="74" shapeId="0" xr:uid="{2B03D74E-AA2F-DC49-AD0D-58AEBF9DED45}">
      <text>
        <t>[Threaded comment]
Your version of Excel allows you to read this threaded comment; however, any edits to it will get removed if the file is opened in a newer version of Excel. Learn more: https://go.microsoft.com/fwlink/?linkid=870924
Comment:
    Faktura już opłacona, rozliczyć nadpłatę</t>
      </text>
    </comment>
    <comment ref="AL118" authorId="75" shapeId="0" xr:uid="{81387DB3-5F8D-3B40-B7AE-7FD8BBDD8B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Rozliczyć nadpłatę
</t>
      </text>
    </comment>
    <comment ref="AM118" authorId="76" shapeId="0" xr:uid="{6FDBC147-A34C-894B-9637-9902BF93B7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Złożyli wypowiedzenie w lipcu - do weryfikacji u Izy
</t>
      </text>
    </comment>
    <comment ref="AL119" authorId="77" shapeId="0" xr:uid="{59191915-0BE9-D24E-A3C4-4B2B6670C3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Ostatnia fv w październiku
</t>
      </text>
    </comment>
    <comment ref="K122" authorId="78" shapeId="0" xr:uid="{39C754CE-5EC1-C74D-97A7-277F71A682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dodac do automatycznych</t>
      </text>
    </comment>
    <comment ref="AK122" authorId="79" shapeId="0" xr:uid="{C311766F-32F9-8742-A065-4ECB2935B5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Przez 3 msc 99 zł</t>
      </text>
    </comment>
    <comment ref="AN122" authorId="80" shapeId="0" xr:uid="{D02CE754-F3BA-C342-A380-B9808E8774C9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26.08 - weryfikacja u Izy
Reply:
    Ostania fv w listopadzie</t>
      </text>
    </comment>
    <comment ref="AL123" authorId="81" shapeId="0" xr:uid="{48DAD31E-4379-BE49-AE72-11703897E6B0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lipcu, ostatnia fv 10.2024 - weryfikować u Izy
Reply:
    Aktualizacja - klient zostaje</t>
      </text>
    </comment>
    <comment ref="AO124" authorId="82" shapeId="0" xr:uid="{5C4BC434-42B6-CF44-A57B-A6650BB89380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styczniu</t>
      </text>
    </comment>
    <comment ref="AG125" authorId="83" shapeId="0" xr:uid="{3D12B392-90AD-6146-9194-17C42FD85DB7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Obniżka abonamentu na 6 miesięcy - 452,20 zł, zgodnie z aneksem</t>
      </text>
    </comment>
    <comment ref="AM125" authorId="84" shapeId="0" xr:uid="{7303FFC4-EC42-774C-8A1D-3CBD885A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Zgodnie z Aneksem od 01.11 powrót do pełnego abonamentu</t>
      </text>
    </comment>
    <comment ref="AO125" authorId="85" shapeId="0" xr:uid="{0844AD5A-7A33-7A4A-90C0-3FEE0824DDCC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Ostania fv w grudniu</t>
      </text>
    </comment>
    <comment ref="AO126" authorId="86" shapeId="0" xr:uid="{A7DB625A-833C-3043-86F3-7A50CF6E69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ostania fv w grudniu
</t>
      </text>
    </comment>
    <comment ref="AI127" authorId="87" shapeId="0" xr:uid="{63A2B638-257D-5748-904E-7EC66DA9A4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Faktura na Scanmed
</t>
      </text>
    </comment>
    <comment ref="AN127" authorId="88" shapeId="0" xr:uid="{1047ED95-7B9D-3B4B-B1A5-77D5EB73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grudzień</t>
      </text>
    </comment>
    <comment ref="K130" authorId="89" shapeId="0" xr:uid="{C2EE6D6A-527E-DD4C-A7BC-7620C92F6803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w telco</t>
      </text>
    </comment>
    <comment ref="H132" authorId="90" shapeId="0" xr:uid="{C15ADBF5-6CD3-6B4E-AE11-DA237795DC9F}">
      <text>
        <t>[Threaded comment]
Your version of Excel allows you to read this threaded comment; however, any edits to it will get removed if the file is opened in a newer version of Excel. Learn more: https://go.microsoft.com/fwlink/?linkid=870924
Comment:
    Karolina Hyza, 31.03.2022 jedno dodatkowe konto 159 zl</t>
      </text>
    </comment>
    <comment ref="P132" authorId="91" shapeId="0" xr:uid="{AAA29239-F144-744E-90E7-4C9ACCA8F1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nowy user od 29.11.2022
Reply:
    Zniżka -10% ze wzgldu na awarie</t>
      </text>
    </comment>
    <comment ref="AQ132" authorId="92" shapeId="0" xr:uid="{BDA0E555-4D9E-A249-9B8C-8FF9DEA14B6B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 w listopadzie, ostatnia fv w lutym</t>
      </text>
    </comment>
    <comment ref="AP133" authorId="93" shapeId="0" xr:uid="{83402CE8-D3D1-C74E-8D99-03C820EC601F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lutym, wypowiedzenie z 31.01.2025</t>
      </text>
    </comment>
    <comment ref="AH134" authorId="94" shapeId="0" xr:uid="{806D44E5-F3BD-F44E-B4E7-37D28591E9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Dodatkowy Login Zgodnie z aneksem od Gosi z 11.06
</t>
      </text>
    </comment>
    <comment ref="AK134" authorId="95" shapeId="0" xr:uid="{960C5F71-4619-CC4D-B4CF-E08D458528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Dodatkowe konto, zgłoszenie od K. Ponikły mailowo 24.09
</t>
      </text>
    </comment>
    <comment ref="AO134" authorId="96" shapeId="0" xr:uid="{D87C20BD-010F-BE44-8DFB-E1F4809341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Zgłoszenie Karoliny Ponikły (mail z 29.01)
Reply:
    Drugie konto : ZAM-557
</t>
      </text>
    </comment>
    <comment ref="AP134" authorId="97" shapeId="0" xr:uid="{998D3F06-C955-5B4B-9696-EEA66DB79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Zgłoszenie Karoliny Ponikły (mail z 29.01)
Reply:
    Drugie konto : ZAM-557
</t>
      </text>
    </comment>
    <comment ref="AR134" authorId="98" shapeId="0" xr:uid="{4A584B6C-E9C0-3746-8D04-47BADC60DA8E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marcu</t>
      </text>
    </comment>
    <comment ref="E135" authorId="99" shapeId="0" xr:uid="{52620AB8-E9A1-7944-A198-021FC8C09D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dane: OPTOVET sp. z o. o., ul. Poprzeczna 72, 51-167 Wrocław, NIP 8952237825</t>
      </text>
    </comment>
    <comment ref="AO135" authorId="100" shapeId="0" xr:uid="{392960D7-E0C8-0645-8054-650B4E1D48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ostatnia fv w grudniu, klient złożył wypowiedzenie </t>
      </text>
    </comment>
    <comment ref="J136" authorId="101" shapeId="0" xr:uid="{B52E7A38-6C2E-F941-941D-5947755406FB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w fakturach za telco</t>
      </text>
    </comment>
    <comment ref="AR137" authorId="102" shapeId="0" xr:uid="{61800963-23DD-B845-AD6F-FABA70EA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marcu</t>
      </text>
    </comment>
    <comment ref="AR139" authorId="103" shapeId="0" xr:uid="{F7A67D6F-3E17-2B41-B96A-DFB393CB1A96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marcu</t>
      </text>
    </comment>
    <comment ref="AQ141" authorId="104" shapeId="0" xr:uid="{1BB510ED-69D3-714C-B509-A5EE487A21E4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złożone w 10.2024
Reply:
    Złożone ponownie w listopadzie</t>
      </text>
    </comment>
    <comment ref="K142" authorId="105" shapeId="0" xr:uid="{484F3C6B-0007-E14E-9CD8-14B721A3A0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przez 12 miesięcy, potem 908 zł</t>
      </text>
    </comment>
    <comment ref="AS143" authorId="106" shapeId="0" xr:uid="{040E916C-DC1A-B349-93F3-93FB32A059CB}">
      <text>
        <t>[Threaded comment]
Your version of Excel allows you to read this threaded comment; however, any edits to it will get removed if the file is opened in a newer version of Excel. Learn more: https://go.microsoft.com/fwlink/?linkid=870924
Comment:
    Abonament naliczany od 7 msc
Reply:
    Klient zrezygnował</t>
      </text>
    </comment>
    <comment ref="E145" authorId="107" shapeId="0" xr:uid="{A7783CBF-52E7-0C40-A9B0-FF176283A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platnosc z gory za 12 miesiecy</t>
      </text>
    </comment>
    <comment ref="AR145" authorId="108" shapeId="0" xr:uid="{D786F6A3-3E6C-6C4D-B42B-BB4A73EACD3B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z dnia 21.02.2025</t>
      </text>
    </comment>
    <comment ref="N146" authorId="109" shapeId="0" xr:uid="{6B098231-C573-034C-BF0C-6C95B486C7A4}">
      <text>
        <t>[Threaded comment]
Your version of Excel allows you to read this threaded comment; however, any edits to it will get removed if the file is opened in a newer version of Excel. Learn more: https://go.microsoft.com/fwlink/?linkid=870924
Comment:
    +500 zł poradnia dla dorosłych</t>
      </text>
    </comment>
    <comment ref="M147" authorId="110" shapeId="0" xr:uid="{FBBE20D8-5240-6D4F-ADB7-9217578D3602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Wystawic wdrożenie po 6 miesiącach</t>
      </text>
    </comment>
    <comment ref="AR147" authorId="111" shapeId="0" xr:uid="{A8E89848-92C8-5A4E-ABAD-43A0151D123F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wypowiedzenie, ostatnia fv w marcu</t>
      </text>
    </comment>
    <comment ref="AR148" authorId="112" shapeId="0" xr:uid="{4143031E-5475-1849-B21D-1EC62555F756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 w lutym, do weryfikacji</t>
      </text>
    </comment>
    <comment ref="AS149" authorId="113" shapeId="0" xr:uid="{8EA5C376-3850-6F41-B594-7F211959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kwietniu</t>
      </text>
    </comment>
    <comment ref="AS150" authorId="114" shapeId="0" xr:uid="{98A5AE0C-6E1D-434C-B5F3-BA2F595E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zrezygnował, jednak za maj jeszcze ¼ abonamentu  - info od K. Ponikły mail z 14.05.2025</t>
      </text>
    </comment>
    <comment ref="AT150" authorId="115" shapeId="0" xr:uid="{CCAC9F4E-3F57-9E49-A691-01100313DC2C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weryfikacji
Reply:
    Ostatnia fv 30.04</t>
      </text>
    </comment>
    <comment ref="AQ151" authorId="116" shapeId="0" xr:uid="{CFA90144-0503-9A47-8C86-84757C3094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Zmiana abonamentu i płatność z góry od 01.03 </t>
      </text>
    </comment>
    <comment ref="AT151" authorId="117" shapeId="0" xr:uid="{E51B30FA-B01E-D245-8B9C-2A3EBB1AE1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Wypowiedzenie złożone 21.02.2025
</t>
      </text>
    </comment>
    <comment ref="AA152" authorId="118" shapeId="0" xr:uid="{672494CA-2420-034E-AA0E-67185CD42C47}">
      <text>
        <t>[Threaded comment]
Your version of Excel allows you to read this threaded comment; however, any edits to it will get removed if the file is opened in a newer version of Excel. Learn more: https://go.microsoft.com/fwlink/?linkid=870924
Comment:
    733 zł przez pierwsze 6 miesięcy, potem 1098,75</t>
      </text>
    </comment>
    <comment ref="AG152" authorId="119" shapeId="0" xr:uid="{C63AB574-BA76-794C-A06B-EBC9ADD71C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Rabat przedłużony na 3 miesiące przez Daniela </t>
      </text>
    </comment>
    <comment ref="AJ152" authorId="120" shapeId="0" xr:uid="{137AB182-D235-2646-A4AC-6AC531C0A749}">
      <text>
        <t>[Threaded comment]
Your version of Excel allows you to read this threaded comment; however, any edits to it will get removed if the file is opened in a newer version of Excel. Learn more: https://go.microsoft.com/fwlink/?linkid=870924
Comment:
    Kwotę 733 zostawiamy do listopada 2024</t>
      </text>
    </comment>
    <comment ref="AL152" authorId="121" shapeId="0" xr:uid="{DDA2B24B-C4A7-824E-A094-9EFDEC0A68D5}">
      <text>
        <t>[Threaded comment]
Your version of Excel allows you to read this threaded comment; however, any edits to it will get removed if the file is opened in a newer version of Excel. Learn more: https://go.microsoft.com/fwlink/?linkid=870924
Comment:
    Uwaga, rozliczyć nadpłatę!</t>
      </text>
    </comment>
    <comment ref="AN152" authorId="122" shapeId="0" xr:uid="{99E64F12-3AA4-C144-8210-97D8CFF4F7A8}">
      <text>
        <t>[Threaded comment]
Your version of Excel allows you to read this threaded comment; however, any edits to it will get removed if the file is opened in a newer version of Excel. Learn more: https://go.microsoft.com/fwlink/?linkid=870924
Comment:
    Od grudnia 1098,75</t>
      </text>
    </comment>
    <comment ref="AT154" authorId="123" shapeId="0" xr:uid="{CF6BAF3E-0964-6349-ACD5-8BEE9A235C1A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 w lutym, ostatnia fv w maju</t>
      </text>
    </comment>
    <comment ref="Q155" authorId="124" shapeId="0" xr:uid="{2B716A2B-8BB4-4246-B4D7-16777F9684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nowy user od 5.12.2022</t>
      </text>
    </comment>
    <comment ref="AT155" authorId="125" shapeId="0" xr:uid="{50E32657-8226-3744-A06C-48662A2739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Wypowiedzenie złożone 12.02
</t>
      </text>
    </comment>
    <comment ref="AI156" authorId="126" shapeId="0" xr:uid="{9FAD4E5A-173C-674F-9116-352F307E3EDB}">
      <text>
        <t>[Threaded comment]
Your version of Excel allows you to read this threaded comment; however, any edits to it will get removed if the file is opened in a newer version of Excel. Learn more: https://go.microsoft.com/fwlink/?linkid=870924
Comment:
    ANEKS zmiana stawki na 1100 i fakturowanie na początku msc (z góry)</t>
      </text>
    </comment>
    <comment ref="AQ157" authorId="127" shapeId="0" xr:uid="{9C87AD74-BD10-AA4F-9C8F-84FD779C1A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Zmiana abonamentu i płatność z góry od 01.03 </t>
      </text>
    </comment>
    <comment ref="AU157" authorId="128" shapeId="0" xr:uid="{FF6C7D65-ABA8-7F4A-8F09-52678923A972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Złożone wypowiedzenie w marcu</t>
      </text>
    </comment>
    <comment ref="Z159" authorId="129" shapeId="0" xr:uid="{A1A331F3-1529-B74B-A5B7-3F0BAF8E97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ZAM-233 dodatkowy login od 23.10
</t>
      </text>
    </comment>
    <comment ref="AA159" authorId="130" shapeId="0" xr:uid="{00DAB187-1561-3545-BC2F-88945DAE9097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ZAM-259 dodatkowe 3 loginy</t>
      </text>
    </comment>
    <comment ref="AB159" authorId="131" shapeId="0" xr:uid="{6B9598A3-D514-574D-86C2-2C1D914C1866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ZAM-270 DODATKOWY LOGIN OD 1.12
Reply:
    ZAM-285 Dodatkowy login od 5.12</t>
      </text>
    </comment>
    <comment ref="AC159" authorId="132" shapeId="0" xr:uid="{3731BD4E-0E65-CE4D-BC3A-F49846A327CB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ZAM-270 DODATKOWY LOGIN OD 1.12
Reply:
    ZAM-285 Dodatkowy login od 5.12</t>
      </text>
    </comment>
    <comment ref="AD159" authorId="133" shapeId="0" xr:uid="{403E9149-8469-F04A-B82D-907C78902F25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Dodać nowe funkcjonalności</t>
      </text>
    </comment>
    <comment ref="AQ159" authorId="134" shapeId="0" xr:uid="{1E487052-F29C-494D-B69B-0B440D9D5849}">
      <text>
        <t>[Threaded comment]
Your version of Excel allows you to read this threaded comment; however, any edits to it will get removed if the file is opened in a newer version of Excel. Learn more: https://go.microsoft.com/fwlink/?linkid=870924
Comment:
    Zmiana abonamentu bez aneksu - jest zgoda mailowa na podwyżkę (Iza)</t>
      </text>
    </comment>
    <comment ref="AW159" authorId="135" shapeId="0" xr:uid="{3B96EDA4-51CE-F140-9D7A-9CCC98FE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złożone w maju</t>
      </text>
    </comment>
    <comment ref="AW160" authorId="136" shapeId="0" xr:uid="{6E355EED-485B-6746-9259-9337B49DF5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Wypowiedzenie złożone w maju
</t>
      </text>
    </comment>
    <comment ref="S161" authorId="137" shapeId="0" xr:uid="{F4F0384E-B6FB-6046-8C18-A5CDF903B9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Rezygnacja z teledmska</t>
      </text>
    </comment>
    <comment ref="AW161" authorId="138" shapeId="0" xr:uid="{B57D9576-8743-1746-8F3A-848B798240E1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sierpień</t>
      </text>
    </comment>
    <comment ref="W162" authorId="139" shapeId="0" xr:uid="{25DCC340-7340-E64B-B66B-B1C10219A1C2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Dodatkowy login Grzegorz Grądkowski 159-49(darmowe konto managera przy wdrożeniu)=110</t>
      </text>
    </comment>
    <comment ref="AD162" authorId="140" shapeId="0" xr:uid="{9729F480-0CE0-9648-848E-19559888B308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ZAM-322</t>
      </text>
    </comment>
    <comment ref="AE162" authorId="141" shapeId="0" xr:uid="{F940E794-DB9A-9443-989A-B71BD4CF6F68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ZAM-322</t>
      </text>
    </comment>
    <comment ref="AQ162" authorId="142" shapeId="0" xr:uid="{1B9A2DCC-988A-D643-881A-75CD978992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Zmiana abonamentu i płatność z góry od 01.03 </t>
      </text>
    </comment>
    <comment ref="AX163" authorId="143" shapeId="0" xr:uid="{3EDC6814-F82C-0E4A-9F2C-5D51B6D6A7CF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we wrześniu</t>
      </text>
    </comment>
    <comment ref="C169" authorId="144" shapeId="0" xr:uid="{87050FEE-3B7D-EE4A-8C4F-EBC2E650C4B0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styczniu</t>
      </text>
    </comment>
  </commentList>
</comments>
</file>

<file path=xl/sharedStrings.xml><?xml version="1.0" encoding="utf-8"?>
<sst xmlns="http://schemas.openxmlformats.org/spreadsheetml/2006/main" count="398" uniqueCount="233">
  <si>
    <t>NIP</t>
  </si>
  <si>
    <t>ID</t>
  </si>
  <si>
    <t>Suma</t>
  </si>
  <si>
    <t>Przychodnia KEN (CM Woronicza)</t>
  </si>
  <si>
    <t>rezygnacja</t>
  </si>
  <si>
    <t>Poradnia Lekarska dr Alicja Karney</t>
  </si>
  <si>
    <t>PCM Optimum / Orthos</t>
  </si>
  <si>
    <t>LSSP (Lekarska Specjalistyczna Spółdzielnia Pracy)</t>
  </si>
  <si>
    <t>Centrum LA VIE</t>
  </si>
  <si>
    <t>CM DoktorA</t>
  </si>
  <si>
    <t>Prywatna Poliklinika na Grobli</t>
  </si>
  <si>
    <t>SZPITAL OKULISTYCZNY RETINA</t>
  </si>
  <si>
    <t>Voltamed</t>
  </si>
  <si>
    <t>Salveo Ustroń</t>
  </si>
  <si>
    <t>Gastromed Białystok</t>
  </si>
  <si>
    <t>AM Medic</t>
  </si>
  <si>
    <t>Gabinet Weterynaryjny Gryf</t>
  </si>
  <si>
    <t>Mental Path (dawniej Centrum Terapii i Kreatywności)</t>
  </si>
  <si>
    <t>Medinet</t>
  </si>
  <si>
    <t>NZOZ Vitamed Czerwińsk (NIP: 5671583830)</t>
  </si>
  <si>
    <t>CM Komorniki</t>
  </si>
  <si>
    <t>MedJar</t>
  </si>
  <si>
    <t>CO TAM?</t>
  </si>
  <si>
    <t>Vaxmed</t>
  </si>
  <si>
    <t>Centrum Zdrowia Na Skarpie</t>
  </si>
  <si>
    <t>Esderm</t>
  </si>
  <si>
    <t>Centrum Psychoterapii i Rozwoju Kontakt</t>
  </si>
  <si>
    <t>Centrum Terapii Synteza</t>
  </si>
  <si>
    <t>JMC Stomatologia</t>
  </si>
  <si>
    <t>Jutro Medical</t>
  </si>
  <si>
    <t>Ortovet</t>
  </si>
  <si>
    <t>Przychodnia Weterynaryjna przy Orlej</t>
  </si>
  <si>
    <t>Klinika Pięknego Uśmiechu</t>
  </si>
  <si>
    <t>MW Clinic</t>
  </si>
  <si>
    <t>NZOZ Werra</t>
  </si>
  <si>
    <t>CM Judyta (+ Teledesk)</t>
  </si>
  <si>
    <t>CMC Kraków | MK Vertigo</t>
  </si>
  <si>
    <t>Przejście na VoIP</t>
  </si>
  <si>
    <t>Na Nowo Wilanów</t>
  </si>
  <si>
    <t>FC Med (Familijne Centrum Medyczne)</t>
  </si>
  <si>
    <t>Premium Clinic Wrocław</t>
  </si>
  <si>
    <t>Dental Sand</t>
  </si>
  <si>
    <t>CM Jelonki</t>
  </si>
  <si>
    <t>Dental Salon</t>
  </si>
  <si>
    <t>Sanatorium Uzdrowiskowe Marta</t>
  </si>
  <si>
    <t>przejście na voip</t>
  </si>
  <si>
    <t>Cinismed</t>
  </si>
  <si>
    <t>NZOZ Fona-Med</t>
  </si>
  <si>
    <t>Cudmed</t>
  </si>
  <si>
    <t>Alfavet</t>
  </si>
  <si>
    <t>Przychodnia Weterynaryjna Jamniczek (MR)</t>
  </si>
  <si>
    <t>Szpital św. Wojciecha</t>
  </si>
  <si>
    <t>NZOZ Sep-Med</t>
  </si>
  <si>
    <t>Odontic Dębica</t>
  </si>
  <si>
    <t>SZPITAL PODOLANY POZNAŃ</t>
  </si>
  <si>
    <t>HMS Assistance</t>
  </si>
  <si>
    <t>5611596533 </t>
  </si>
  <si>
    <t>SmartVet (Medyczne Rewolucje)</t>
  </si>
  <si>
    <t>przejście na VoIP</t>
  </si>
  <si>
    <t>Fizjonel</t>
  </si>
  <si>
    <t>Gameta Gdynia</t>
  </si>
  <si>
    <t>M-Med</t>
  </si>
  <si>
    <t>Wrocław Medical Center</t>
  </si>
  <si>
    <t>Centrum Medycyny Konopnej</t>
  </si>
  <si>
    <t>Neuca Med Sp. z o.o.</t>
  </si>
  <si>
    <t>Warto Razem Medical Labor Securus Sp. z o. o.</t>
  </si>
  <si>
    <t>Szczepan Wiecha Sportslab</t>
  </si>
  <si>
    <t>Poradnia Stomatologiczna - Ewa Klimek</t>
  </si>
  <si>
    <t>Belgravia Medical Piotr Grabowski Spółka Komandytowa</t>
  </si>
  <si>
    <t>Niepubliczny Zakład Opieki Zdrowotnej Medicus Spółka Z Ograniczoną Odpowiedzialnością</t>
  </si>
  <si>
    <t>B-Dental Baron Spółka Jawna</t>
  </si>
  <si>
    <t>Fundacja Dla Pokoleń</t>
  </si>
  <si>
    <t>Snzoz Med Med Spółka Z Ograniczoną Odpowiedzialnością</t>
  </si>
  <si>
    <t>Medessence Olga Cytrynowicz</t>
  </si>
  <si>
    <t>Ratyński Dental Clinic Józefów Spółka Komandytowa</t>
  </si>
  <si>
    <t>Effi Clinic Spółka Z Ograniczoną Odpowiedzialnością</t>
  </si>
  <si>
    <t>Ortotop Spółka Z Ograniczoną Odpowiedzialnością</t>
  </si>
  <si>
    <t>Przychodnia Weterynaryjna Jagusz Vet Centrum Hubert Jagusz</t>
  </si>
  <si>
    <t>Arwet Rafał Korta I Wspólnicy Spółka Jawna</t>
  </si>
  <si>
    <t>Euromedica - Europejskie Centrum Medycyny Specjalistycznej Spółka Z Ograniczoną Odpowiedzialnością Spółka Komandytowa</t>
  </si>
  <si>
    <t>Katarzyna Zielińska Clinical Med</t>
  </si>
  <si>
    <t>Trójmiejska Klinika Weterynaryjna</t>
  </si>
  <si>
    <t>Trójmiejska Przychodnia Weterynaryjna Pruszcz Gdański</t>
  </si>
  <si>
    <t>neo</t>
  </si>
  <si>
    <t>Ultra Med Spółka Z Ograniczoną Odpowiedzialnością</t>
  </si>
  <si>
    <t>Centrum Rehabilitacji C.r. Modus Spółka Z Ograniczoną Odpowiedzialnością</t>
  </si>
  <si>
    <t>CR Modus</t>
  </si>
  <si>
    <t>Blueball Krzysztof Olech</t>
  </si>
  <si>
    <t>BlueBall Siemianowice Śląskie</t>
  </si>
  <si>
    <t>Centrum Rehabilitacji I Kardiologii Solutaris Prokopczuk Spółka Jawna</t>
  </si>
  <si>
    <t>CM Solutaris Kędzierzyn-Koźle</t>
  </si>
  <si>
    <t>Przychodnia Weterynaryjna - Morawscy - Dorota Morawska-Końska</t>
  </si>
  <si>
    <t>Przychodnia Weterynaryjna Morawscy</t>
  </si>
  <si>
    <t>Centrum Okulistyki Oko-Med. Spółka Z Ograniczoną Odpowiedzialnością</t>
  </si>
  <si>
    <t>Oko Med</t>
  </si>
  <si>
    <t>Interfizjo Spółka Akcyjna</t>
  </si>
  <si>
    <t>Interfizjo</t>
  </si>
  <si>
    <t>Poddębina Med W. Piekarska Spółka Komandytowa</t>
  </si>
  <si>
    <t>Dom Seniora Poddębina</t>
  </si>
  <si>
    <t>Sport Medica Spółka Akcyjna</t>
  </si>
  <si>
    <t>Sport Medica | Optimum Klinika Głowy i Szyi</t>
  </si>
  <si>
    <t>Libermedic Grabska - Liberek I. Liberek B. Spółka Jawna</t>
  </si>
  <si>
    <t>Libermedic</t>
  </si>
  <si>
    <t>Centrum Medyczne Mediraj Sp. z o. o.</t>
  </si>
  <si>
    <t>CM MediRaj</t>
  </si>
  <si>
    <t>Medtour Sp. z o. o.</t>
  </si>
  <si>
    <t>DentEstetica</t>
  </si>
  <si>
    <t>Max Hemp Spółka Z Ograniczoną Odpowiedzialnością</t>
  </si>
  <si>
    <t>Max Hemp</t>
  </si>
  <si>
    <t>La Dentica Gabinety Stomatologiczne Joanna Sobczyk</t>
  </si>
  <si>
    <t>La Dentica</t>
  </si>
  <si>
    <t>Klinika HB </t>
  </si>
  <si>
    <t>Klinika Hb Dorota Basista</t>
  </si>
  <si>
    <t>Przychodnia Weterynaryjna ”Na Polance” Katarzyna Marciniak</t>
  </si>
  <si>
    <t>Weterynaria na Polance</t>
  </si>
  <si>
    <t>Przychodnia Weterynaryjna Jarosław Garbowski VoIP</t>
  </si>
  <si>
    <t>Nowoczesne Centrum Stomatologii Sypień Spółka z ograniczoną odpowiedzialnością</t>
  </si>
  <si>
    <t>Stomatologia Sypień</t>
  </si>
  <si>
    <t>Dębowa 105 Stomatologia I Medycyna Estetyczna Spółka Z Ograniczoną Odpowiedzialnością</t>
  </si>
  <si>
    <t>Dębowa 105</t>
  </si>
  <si>
    <t>VBV Spółka Z Ograniczoną Odpowiedzialnością Spółka Komandytowa</t>
  </si>
  <si>
    <t>Medical Prestige Poznań</t>
  </si>
  <si>
    <t>Neo Dent Poznań</t>
  </si>
  <si>
    <t>Centrum Serca Lc Spółka Z Ograniczoną Odpowiedzialnością</t>
  </si>
  <si>
    <t>Centrum Serca Lumina Cordis</t>
  </si>
  <si>
    <t>Fortitudo</t>
  </si>
  <si>
    <t>przejście z voipa na medidesk</t>
  </si>
  <si>
    <t>Niepubliczny Zakład Opieki Zdrowotnej Domowa Opieka Paliatywna Dar-Med Sp. z o. o.</t>
  </si>
  <si>
    <t>Dar-Med przez pierwsze 24 miesiące z upustem: 1093,20 zł netto
po 24 miesiącach kwota docelowa: 1261,80 zł netto</t>
  </si>
  <si>
    <t>SZPZLO Warszawa Bemowo - Włochy</t>
  </si>
  <si>
    <t>Niepubliczny Zakład Opieki Zdrowotnej Ośrodek Medycyny Pracy Sp. z o. o.</t>
  </si>
  <si>
    <t>OMP Lubin Grupa Medicus (MR)</t>
  </si>
  <si>
    <t>Centrum Medyczne i Rehabilitacji Kriosonik Spółka z ograniczoną odpowiedzialnością Spółka Jawna</t>
  </si>
  <si>
    <t>Kriosonik Siedlce (upselling Wizyty Domowe)</t>
  </si>
  <si>
    <t>Mekmed II Spółka Z Ograniczoną Odpowiedzialnością Spółka Komandytowa</t>
  </si>
  <si>
    <t>Centrum Estetyki Ciała Mekmed II</t>
  </si>
  <si>
    <t>Centrum Medyczne Damiana Holding Sp. z o. o.</t>
  </si>
  <si>
    <t>Allenort - Propsyche Myśliborska 44</t>
  </si>
  <si>
    <t>Allenort - Propsyche Przasnyska 6A</t>
  </si>
  <si>
    <t>Allenort - Propsyche Sielecka 22/11</t>
  </si>
  <si>
    <t>Allenort - Psychiatra Allenort Białystok Kawaleryjska 9</t>
  </si>
  <si>
    <t>Allenort - Psychomedica Nabielaka 6/2</t>
  </si>
  <si>
    <t>Home Doctor Spółka Z Ograniczoną Odpowiedzialnością</t>
  </si>
  <si>
    <t>HomeDoctor Telemedycyna</t>
  </si>
  <si>
    <t>HomeDoctor Sp. z o.o.</t>
  </si>
  <si>
    <t>Niepubliczny Zakład Opieki Zdrowotnej Przychodnia Lekarska Neuromedyka Emilia Kotewska-Avramčeva</t>
  </si>
  <si>
    <t>NZOZ Neuromedyka</t>
  </si>
  <si>
    <t>Studio Urody Miracle Paulina Wajda</t>
  </si>
  <si>
    <t>Studio Urody Miracle</t>
  </si>
  <si>
    <t>Ars-Medica Spółka Z Ograniczoną Odpowiedzialnością</t>
  </si>
  <si>
    <t>Ars-Medica Kraków</t>
  </si>
  <si>
    <t>Rezygnacja</t>
  </si>
  <si>
    <t>Przychodnia Gro-Dent D. Kamieniarz-Orzeł, S. Orzeł Spółka Jawna</t>
  </si>
  <si>
    <t>Gro-dent Centrum Zdrowia Rodziny</t>
  </si>
  <si>
    <t>Centrum Vit Spółka Z Ograniczoną Odpowiedzialnością Spółka Komandytowa</t>
  </si>
  <si>
    <t>Klinika Witaminowa</t>
  </si>
  <si>
    <t>Olicon Spółka Z Ograniczoną Odpowiedzialnością</t>
  </si>
  <si>
    <t>Olicon | Centrum Terapii Wyspa</t>
  </si>
  <si>
    <t>reygnacja</t>
  </si>
  <si>
    <t>Pragamed Spółka Z Ograniczoną Odpowiedzialnością</t>
  </si>
  <si>
    <t>PragaMed</t>
  </si>
  <si>
    <t>Etos Centrum Edukacji I Doradztwa Służby Zdrowia Spółka Z Ograniczoną Odpowiedzialnością</t>
  </si>
  <si>
    <t>Przychodnia Etos Zdrowie</t>
  </si>
  <si>
    <t>Centrum Medyczne Multimed Spółka Z Ograniczoną Odpowiedzialnością</t>
  </si>
  <si>
    <t>Multimed Brzesko</t>
  </si>
  <si>
    <t>Vital Medic Sp. z o. o. W Upadłości</t>
  </si>
  <si>
    <t>Vital Medic Kluczbork</t>
  </si>
  <si>
    <t>Akademia Zdrowia Pasji i Nauki (VoIP)</t>
  </si>
  <si>
    <t>Beverly Aesthetic Clinic (VoIP)</t>
  </si>
  <si>
    <t>CM Judyta</t>
  </si>
  <si>
    <t>Niepubliczny Zakład Opieki Zdrowotnej Centrum Janusz Leśnik</t>
  </si>
  <si>
    <t>NZOZ Centrum Hipolitów</t>
  </si>
  <si>
    <t>Fizjoline Spółka Cywilna Beata Król, Rafał Wokrój</t>
  </si>
  <si>
    <t>Fizjoline - Szczecin</t>
  </si>
  <si>
    <t>przejście na voipa</t>
  </si>
  <si>
    <t>Bodyclinic Spółka Z Ograniczoną Odpowiedzialnością Spółka Komandytowa</t>
  </si>
  <si>
    <t>BodyClinic Warszawa</t>
  </si>
  <si>
    <t>Optovet Sp. z o. o.</t>
  </si>
  <si>
    <t>OptoVet</t>
  </si>
  <si>
    <t>Med-POZ (VoIP)</t>
  </si>
  <si>
    <t>Victi Spółka Z Ograniczoną Odpowiedzialnością</t>
  </si>
  <si>
    <t>NZOZ Victi</t>
  </si>
  <si>
    <t>Barwijuk Clinics Spółka Z Ograniczoną Odpowiedzialnością Spółka Komandytowa</t>
  </si>
  <si>
    <t>Medifem Klinika Kobiet (Barwijuk)</t>
  </si>
  <si>
    <t>Tulip Medical Group Ziemlewski Spółka Komandytowo-Akcyjna</t>
  </si>
  <si>
    <t>Klinika Ziemlewski</t>
  </si>
  <si>
    <t>Tygrysek</t>
  </si>
  <si>
    <t>Lux Med Sp. z o. o.</t>
  </si>
  <si>
    <t>Stomatologia Makara | Lux Med Sp. z o. o.</t>
  </si>
  <si>
    <t>Technodent Medycyna Estetyczna Spółka z o.o.</t>
  </si>
  <si>
    <t>Medycyna Estetyczna Na Księżym Młynie</t>
  </si>
  <si>
    <t>zejście na VOIP</t>
  </si>
  <si>
    <t>Samodzielny Publiczny Zakład Opieki Zdrowotnej Przychodnia Miejska W Józefowie</t>
  </si>
  <si>
    <t>Aesthetic Med Prywatne Centrum Chirurgii Plastycznej I Rekonstrukcyjnej Andrzej Dmytrzak</t>
  </si>
  <si>
    <t>Aesthetic Med Szczecin</t>
  </si>
  <si>
    <t>Scanmed Spółka Akcyjna</t>
  </si>
  <si>
    <t>Gastromed Lublin</t>
  </si>
  <si>
    <t>Ezra Uksw Spółka Z Ograniczoną Odpowiedzialnością</t>
  </si>
  <si>
    <t>Fizjo Pomoc Medical Center Sp. z o. o. Spółka Komandytowa</t>
  </si>
  <si>
    <t>Fizjo Pomoc</t>
  </si>
  <si>
    <t>Medfemina Sp. z o. o. Szpital Spółka Komandytowa</t>
  </si>
  <si>
    <t>Medfemina</t>
  </si>
  <si>
    <t>Medimel Indywidualna Specjalistyczna Praktyka Lekarska Katarzyna Ostrowska-Clark</t>
  </si>
  <si>
    <t>Medimel</t>
  </si>
  <si>
    <t>Re Vitae Medycyna Estetyczna I Chirurgia Plastyczna Spółka Z Ograniczoną Odpowiedzialnością</t>
  </si>
  <si>
    <t>Re Vitae</t>
  </si>
  <si>
    <t>Arenamed-Rehabilitacja Medyczna Sp. z o. o.</t>
  </si>
  <si>
    <t>Rehadent</t>
  </si>
  <si>
    <t>Medical Clinic of Warsaw (CM Artevena) </t>
  </si>
  <si>
    <t>Chirurgia I Dermatologia Estetyczna Dzieci I Dorosłych Bagłaj Spółka Z Ograniczoną Odpowiedzialnością</t>
  </si>
  <si>
    <t>CHIDE Bagłaj</t>
  </si>
  <si>
    <t>Sim Clinic A. Schreiber K. Chrabkowska Spółka Jawna</t>
  </si>
  <si>
    <t>Sim Clinic</t>
  </si>
  <si>
    <t>Medicine Clinic Sp. z o. o.</t>
  </si>
  <si>
    <t>Medicine Clinic (Medyczne Rewolucje)</t>
  </si>
  <si>
    <t>Centrum Profilaktyki I Lecznictwa Cenpil Spółka Z Ograniczoną Odpowiedzialnością</t>
  </si>
  <si>
    <t>CENPiL</t>
  </si>
  <si>
    <t>Consultron S. Listopadzki, J. Szyperski, P. Jarzemski Spółka Jawna</t>
  </si>
  <si>
    <t>Szpital św.Łukasza</t>
  </si>
  <si>
    <t>Pro-Femina Piotr Piech I In. Spółka Jawna</t>
  </si>
  <si>
    <t>Pro-femina</t>
  </si>
  <si>
    <t>Saykids Spółka Akcyjna</t>
  </si>
  <si>
    <t>Saykids</t>
  </si>
  <si>
    <t>Cliniclab Specjalistyczne Badania Laboratoryjne Spółka Akcyjna</t>
  </si>
  <si>
    <t>”Centrum Medyczne” Spółka Z Ograniczoną Odpowiedzialnością</t>
  </si>
  <si>
    <t>CM Zduńska Wola</t>
  </si>
  <si>
    <t>Projekt Uśmiech Bis Sp. z o.o.</t>
  </si>
  <si>
    <t>Projekt Uśmiech</t>
  </si>
  <si>
    <t>Estidental Spółka Z Ograniczoną Odpowiedzialnością</t>
  </si>
  <si>
    <t>EstiDental</t>
  </si>
  <si>
    <t>Medidesk</t>
  </si>
  <si>
    <t>NFZ Wanda Kabata Medycyna Rodzinna</t>
  </si>
  <si>
    <t>Telemedycyna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</si>
</sst>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43" formatCode="_-* #,##0.00_-;\-* #,##0.00_-;_-* &quot;-&quot;??_-;_-@_-"/>
    <numFmt numFmtId="164" formatCode="mm/yyyy"/>
    <numFmt numFmtId="165" formatCode="#,##0.00\ [$zł-415]"/>
    <numFmt numFmtId="166" formatCode="_-* #,##0.00\ _z_ł_-;\-* #,##0.00\ _z_ł_-;_-* &quot;-&quot;??\ _z_ł_-;_-@_-"/>
  </numFmts>
  <fonts count="21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4"/>
      <color theme="1"/>
      <name val="Calibri"/>
      <family val="2"/>
      <scheme val="minor"/>
    </font>
    <font>
      <sz val="14"/>
      <color rgb="FF38353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 val="double"/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u val="double"/>
      <sz val="11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1"/>
      <name val="Arial"/>
      <family val="2"/>
    </font>
    <font>
      <sz val="9"/>
      <color theme="1"/>
      <name val="Segoe UI"/>
      <family val="2"/>
      <charset val="238"/>
    </font>
    <font>
      <sz val="1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01AF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2"/>
    <xf numFmtId="164" fontId="2" fillId="0" borderId="0" xfId="2" applyNumberFormat="1" applyFont="1"/>
    <xf numFmtId="164" fontId="2" fillId="0" borderId="1" xfId="2" applyNumberFormat="1" applyFont="1" applyBorder="1"/>
    <xf numFmtId="164" fontId="3" fillId="0" borderId="0" xfId="2" applyNumberFormat="1" applyFont="1"/>
    <xf numFmtId="2" fontId="2" fillId="0" borderId="0" xfId="2" applyNumberFormat="1" applyFont="1"/>
    <xf numFmtId="2" fontId="3" fillId="0" borderId="0" xfId="2" applyNumberFormat="1" applyFont="1"/>
    <xf numFmtId="0" fontId="4" fillId="0" borderId="0" xfId="2" applyFont="1"/>
    <xf numFmtId="164" fontId="4" fillId="0" borderId="0" xfId="2" applyNumberFormat="1" applyFont="1"/>
    <xf numFmtId="1" fontId="2" fillId="0" borderId="0" xfId="2" applyNumberFormat="1" applyFont="1"/>
    <xf numFmtId="1" fontId="3" fillId="0" borderId="0" xfId="2" applyNumberFormat="1" applyFont="1"/>
    <xf numFmtId="0" fontId="5" fillId="0" borderId="0" xfId="2" applyFont="1"/>
    <xf numFmtId="0" fontId="6" fillId="0" borderId="0" xfId="2" applyFont="1"/>
    <xf numFmtId="165" fontId="7" fillId="2" borderId="0" xfId="2" applyNumberFormat="1" applyFont="1" applyFill="1" applyAlignment="1">
      <alignment horizontal="center" vertical="center"/>
    </xf>
    <xf numFmtId="0" fontId="1" fillId="3" borderId="0" xfId="2" applyFill="1" applyAlignment="1">
      <alignment horizontal="center" vertical="center"/>
    </xf>
    <xf numFmtId="0" fontId="8" fillId="0" borderId="0" xfId="2" applyFont="1"/>
    <xf numFmtId="0" fontId="1" fillId="0" borderId="1" xfId="2" applyBorder="1"/>
    <xf numFmtId="165" fontId="7" fillId="3" borderId="0" xfId="2" applyNumberFormat="1" applyFont="1" applyFill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0" fontId="1" fillId="3" borderId="0" xfId="2" applyFill="1"/>
    <xf numFmtId="165" fontId="7" fillId="4" borderId="0" xfId="2" applyNumberFormat="1" applyFont="1" applyFill="1" applyAlignment="1">
      <alignment horizontal="center" vertical="center"/>
    </xf>
    <xf numFmtId="165" fontId="7" fillId="3" borderId="1" xfId="2" applyNumberFormat="1" applyFont="1" applyFill="1" applyBorder="1" applyAlignment="1">
      <alignment horizontal="center" vertical="center"/>
    </xf>
    <xf numFmtId="165" fontId="7" fillId="5" borderId="0" xfId="2" applyNumberFormat="1" applyFont="1" applyFill="1" applyAlignment="1">
      <alignment horizontal="center" vertical="center"/>
    </xf>
    <xf numFmtId="0" fontId="9" fillId="0" borderId="0" xfId="2" applyFont="1"/>
    <xf numFmtId="0" fontId="10" fillId="0" borderId="0" xfId="2" applyFont="1"/>
    <xf numFmtId="165" fontId="7" fillId="6" borderId="0" xfId="2" applyNumberFormat="1" applyFont="1" applyFill="1" applyAlignment="1">
      <alignment horizontal="center" vertical="center"/>
    </xf>
    <xf numFmtId="165" fontId="11" fillId="0" borderId="0" xfId="2" applyNumberFormat="1" applyFont="1" applyAlignment="1">
      <alignment horizontal="center" vertical="center"/>
    </xf>
    <xf numFmtId="165" fontId="7" fillId="7" borderId="0" xfId="2" applyNumberFormat="1" applyFont="1" applyFill="1" applyAlignment="1">
      <alignment horizontal="center" vertical="center"/>
    </xf>
    <xf numFmtId="0" fontId="1" fillId="3" borderId="1" xfId="2" applyFill="1" applyBorder="1"/>
    <xf numFmtId="165" fontId="7" fillId="2" borderId="2" xfId="2" applyNumberFormat="1" applyFont="1" applyFill="1" applyBorder="1" applyAlignment="1">
      <alignment horizontal="center" vertical="center"/>
    </xf>
    <xf numFmtId="165" fontId="1" fillId="8" borderId="0" xfId="2" applyNumberFormat="1" applyFill="1"/>
    <xf numFmtId="165" fontId="7" fillId="2" borderId="1" xfId="2" applyNumberFormat="1" applyFont="1" applyFill="1" applyBorder="1" applyAlignment="1">
      <alignment horizontal="center" vertical="center"/>
    </xf>
    <xf numFmtId="0" fontId="1" fillId="8" borderId="0" xfId="2" applyFill="1"/>
    <xf numFmtId="0" fontId="12" fillId="0" borderId="0" xfId="2" applyFont="1"/>
    <xf numFmtId="0" fontId="12" fillId="9" borderId="0" xfId="2" applyFont="1" applyFill="1"/>
    <xf numFmtId="0" fontId="13" fillId="9" borderId="0" xfId="2" applyFont="1" applyFill="1"/>
    <xf numFmtId="43" fontId="0" fillId="0" borderId="0" xfId="3" applyFont="1"/>
    <xf numFmtId="0" fontId="5" fillId="10" borderId="0" xfId="2" applyFont="1" applyFill="1" applyAlignment="1">
      <alignment horizontal="left" vertical="center" wrapText="1"/>
    </xf>
    <xf numFmtId="165" fontId="7" fillId="11" borderId="0" xfId="2" applyNumberFormat="1" applyFont="1" applyFill="1" applyAlignment="1">
      <alignment horizontal="center" vertical="center"/>
    </xf>
    <xf numFmtId="165" fontId="1" fillId="12" borderId="1" xfId="2" applyNumberFormat="1" applyFill="1" applyBorder="1"/>
    <xf numFmtId="166" fontId="1" fillId="8" borderId="0" xfId="2" applyNumberFormat="1" applyFill="1"/>
    <xf numFmtId="165" fontId="7" fillId="5" borderId="1" xfId="2" applyNumberFormat="1" applyFont="1" applyFill="1" applyBorder="1" applyAlignment="1">
      <alignment horizontal="center" vertical="center"/>
    </xf>
    <xf numFmtId="165" fontId="7" fillId="8" borderId="0" xfId="2" applyNumberFormat="1" applyFont="1" applyFill="1" applyAlignment="1">
      <alignment horizontal="center" vertical="center"/>
    </xf>
    <xf numFmtId="0" fontId="4" fillId="0" borderId="0" xfId="2" applyFont="1" applyAlignment="1">
      <alignment wrapText="1"/>
    </xf>
    <xf numFmtId="165" fontId="7" fillId="5" borderId="2" xfId="2" applyNumberFormat="1" applyFont="1" applyFill="1" applyBorder="1" applyAlignment="1">
      <alignment horizontal="center" vertical="center"/>
    </xf>
    <xf numFmtId="165" fontId="1" fillId="8" borderId="2" xfId="2" applyNumberFormat="1" applyFill="1" applyBorder="1"/>
    <xf numFmtId="0" fontId="13" fillId="3" borderId="0" xfId="2" applyFont="1" applyFill="1" applyAlignment="1">
      <alignment horizontal="center"/>
    </xf>
    <xf numFmtId="0" fontId="13" fillId="3" borderId="0" xfId="2" applyFont="1" applyFill="1" applyAlignment="1">
      <alignment horizontal="center" vertical="center"/>
    </xf>
    <xf numFmtId="0" fontId="13" fillId="3" borderId="0" xfId="2" applyFont="1" applyFill="1"/>
    <xf numFmtId="165" fontId="14" fillId="2" borderId="0" xfId="2" applyNumberFormat="1" applyFont="1" applyFill="1" applyAlignment="1">
      <alignment horizontal="center" vertical="center"/>
    </xf>
    <xf numFmtId="165" fontId="15" fillId="3" borderId="0" xfId="2" applyNumberFormat="1" applyFont="1" applyFill="1" applyAlignment="1">
      <alignment horizontal="center" vertical="center"/>
    </xf>
    <xf numFmtId="165" fontId="15" fillId="0" borderId="0" xfId="2" applyNumberFormat="1" applyFont="1" applyAlignment="1">
      <alignment horizontal="center" vertical="center"/>
    </xf>
    <xf numFmtId="0" fontId="1" fillId="6" borderId="1" xfId="2" applyFill="1" applyBorder="1"/>
    <xf numFmtId="165" fontId="15" fillId="3" borderId="1" xfId="2" applyNumberFormat="1" applyFont="1" applyFill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165" fontId="1" fillId="5" borderId="0" xfId="2" applyNumberFormat="1" applyFill="1"/>
    <xf numFmtId="0" fontId="1" fillId="5" borderId="0" xfId="2" applyFill="1"/>
    <xf numFmtId="43" fontId="7" fillId="2" borderId="0" xfId="3" applyFont="1" applyFill="1" applyAlignment="1">
      <alignment horizontal="center" vertical="center"/>
    </xf>
    <xf numFmtId="43" fontId="7" fillId="0" borderId="0" xfId="3" applyFont="1" applyFill="1" applyAlignment="1">
      <alignment horizontal="center" vertical="center"/>
    </xf>
    <xf numFmtId="43" fontId="14" fillId="2" borderId="0" xfId="3" applyFont="1" applyFill="1" applyAlignment="1">
      <alignment horizontal="center" vertical="center"/>
    </xf>
    <xf numFmtId="165" fontId="16" fillId="0" borderId="0" xfId="2" applyNumberFormat="1" applyFont="1" applyAlignment="1">
      <alignment horizontal="center" vertical="center"/>
    </xf>
    <xf numFmtId="0" fontId="1" fillId="3" borderId="2" xfId="2" applyFill="1" applyBorder="1"/>
    <xf numFmtId="165" fontId="1" fillId="3" borderId="0" xfId="2" applyNumberFormat="1" applyFill="1"/>
    <xf numFmtId="165" fontId="13" fillId="3" borderId="0" xfId="2" applyNumberFormat="1" applyFont="1" applyFill="1"/>
    <xf numFmtId="0" fontId="4" fillId="0" borderId="0" xfId="2" applyFont="1" applyAlignment="1">
      <alignment horizontal="left" vertical="top" wrapText="1"/>
    </xf>
    <xf numFmtId="0" fontId="6" fillId="9" borderId="0" xfId="2" applyFont="1" applyFill="1"/>
    <xf numFmtId="0" fontId="13" fillId="0" borderId="0" xfId="2" applyFont="1"/>
    <xf numFmtId="165" fontId="15" fillId="2" borderId="0" xfId="2" applyNumberFormat="1" applyFont="1" applyFill="1" applyAlignment="1">
      <alignment horizontal="center" vertical="center"/>
    </xf>
    <xf numFmtId="0" fontId="13" fillId="6" borderId="1" xfId="2" applyFont="1" applyFill="1" applyBorder="1"/>
    <xf numFmtId="165" fontId="15" fillId="2" borderId="2" xfId="2" applyNumberFormat="1" applyFont="1" applyFill="1" applyBorder="1" applyAlignment="1">
      <alignment horizontal="center" vertical="center"/>
    </xf>
    <xf numFmtId="165" fontId="15" fillId="2" borderId="1" xfId="2" applyNumberFormat="1" applyFont="1" applyFill="1" applyBorder="1" applyAlignment="1">
      <alignment horizontal="center" vertical="center"/>
    </xf>
    <xf numFmtId="0" fontId="17" fillId="3" borderId="0" xfId="2" applyFont="1" applyFill="1" applyAlignment="1">
      <alignment horizontal="center" vertical="center"/>
    </xf>
    <xf numFmtId="2" fontId="1" fillId="8" borderId="0" xfId="2" applyNumberFormat="1" applyFill="1"/>
    <xf numFmtId="0" fontId="4" fillId="0" borderId="0" xfId="0" applyFont="1"/>
    <xf numFmtId="0" fontId="6" fillId="0" borderId="0" xfId="0" applyFont="1"/>
    <xf numFmtId="165" fontId="7" fillId="2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0" fillId="12" borderId="1" xfId="0" applyNumberFormat="1" applyFill="1" applyBorder="1"/>
    <xf numFmtId="165" fontId="7" fillId="2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13" fillId="3" borderId="0" xfId="0" applyFont="1" applyFill="1"/>
    <xf numFmtId="165" fontId="18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43" fontId="0" fillId="5" borderId="0" xfId="1" applyFont="1" applyFill="1"/>
    <xf numFmtId="43" fontId="14" fillId="2" borderId="0" xfId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0" fillId="8" borderId="0" xfId="0" applyFill="1"/>
    <xf numFmtId="0" fontId="0" fillId="5" borderId="0" xfId="0" applyFill="1"/>
    <xf numFmtId="165" fontId="14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65" fontId="0" fillId="8" borderId="2" xfId="0" applyNumberFormat="1" applyFill="1" applyBorder="1"/>
    <xf numFmtId="165" fontId="14" fillId="2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0" fillId="0" borderId="0" xfId="0" applyFont="1"/>
    <xf numFmtId="165" fontId="7" fillId="5" borderId="0" xfId="0" applyNumberFormat="1" applyFont="1" applyFill="1" applyAlignment="1">
      <alignment horizontal="center" vertical="center"/>
    </xf>
    <xf numFmtId="165" fontId="0" fillId="8" borderId="0" xfId="0" applyNumberFormat="1" applyFill="1"/>
    <xf numFmtId="165" fontId="0" fillId="5" borderId="0" xfId="0" applyNumberFormat="1" applyFill="1"/>
    <xf numFmtId="0" fontId="12" fillId="0" borderId="0" xfId="0" applyFont="1"/>
    <xf numFmtId="43" fontId="7" fillId="2" borderId="0" xfId="1" applyFont="1" applyFill="1" applyAlignment="1">
      <alignment horizontal="center" vertical="center"/>
    </xf>
    <xf numFmtId="43" fontId="0" fillId="7" borderId="0" xfId="1" applyFont="1" applyFill="1"/>
    <xf numFmtId="165" fontId="11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3" borderId="0" xfId="0" applyNumberFormat="1" applyFont="1" applyFill="1" applyAlignment="1">
      <alignment horizontal="center" vertical="center"/>
    </xf>
    <xf numFmtId="2" fontId="0" fillId="13" borderId="0" xfId="0" applyNumberFormat="1" applyFill="1"/>
    <xf numFmtId="0" fontId="0" fillId="3" borderId="0" xfId="0" applyFill="1"/>
    <xf numFmtId="0" fontId="9" fillId="0" borderId="0" xfId="0" applyFont="1"/>
    <xf numFmtId="165" fontId="7" fillId="0" borderId="0" xfId="0" applyNumberFormat="1" applyFont="1" applyAlignment="1">
      <alignment horizontal="center" vertical="center"/>
    </xf>
    <xf numFmtId="0" fontId="0" fillId="0" borderId="0" xfId="0" quotePrefix="1"/>
    <xf numFmtId="165" fontId="15" fillId="3" borderId="1" xfId="0" applyNumberFormat="1" applyFont="1" applyFill="1" applyBorder="1" applyAlignment="1">
      <alignment horizontal="center" vertical="center"/>
    </xf>
    <xf numFmtId="165" fontId="7" fillId="11" borderId="0" xfId="0" applyNumberFormat="1" applyFont="1" applyFill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7" fillId="11" borderId="3" xfId="0" applyNumberFormat="1" applyFont="1" applyFill="1" applyBorder="1" applyAlignment="1">
      <alignment horizontal="center" vertical="center"/>
    </xf>
    <xf numFmtId="165" fontId="7" fillId="11" borderId="2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165" fontId="7" fillId="2" borderId="5" xfId="0" applyNumberFormat="1" applyFont="1" applyFill="1" applyBorder="1" applyAlignment="1">
      <alignment horizontal="center" vertical="center"/>
    </xf>
    <xf numFmtId="165" fontId="7" fillId="4" borderId="5" xfId="0" applyNumberFormat="1" applyFont="1" applyFill="1" applyBorder="1" applyAlignment="1">
      <alignment horizontal="center" vertical="center"/>
    </xf>
    <xf numFmtId="165" fontId="7" fillId="5" borderId="5" xfId="0" applyNumberFormat="1" applyFont="1" applyFill="1" applyBorder="1" applyAlignment="1">
      <alignment horizontal="center" vertical="center"/>
    </xf>
    <xf numFmtId="165" fontId="7" fillId="2" borderId="4" xfId="0" applyNumberFormat="1" applyFont="1" applyFill="1" applyBorder="1" applyAlignment="1">
      <alignment horizontal="center" vertical="center"/>
    </xf>
    <xf numFmtId="0" fontId="13" fillId="3" borderId="5" xfId="0" applyFont="1" applyFill="1" applyBorder="1"/>
    <xf numFmtId="0" fontId="0" fillId="0" borderId="5" xfId="0" applyBorder="1"/>
    <xf numFmtId="165" fontId="0" fillId="12" borderId="3" xfId="0" applyNumberFormat="1" applyFill="1" applyBorder="1"/>
    <xf numFmtId="165" fontId="0" fillId="2" borderId="0" xfId="0" applyNumberFormat="1" applyFill="1"/>
    <xf numFmtId="43" fontId="14" fillId="14" borderId="0" xfId="1" applyFont="1" applyFill="1" applyBorder="1" applyAlignment="1">
      <alignment horizontal="center" vertical="center"/>
    </xf>
    <xf numFmtId="43" fontId="14" fillId="12" borderId="0" xfId="1" applyFont="1" applyFill="1" applyBorder="1" applyAlignment="1">
      <alignment horizontal="center" vertical="center"/>
    </xf>
    <xf numFmtId="4" fontId="19" fillId="0" borderId="0" xfId="0" applyNumberFormat="1" applyFont="1"/>
    <xf numFmtId="43" fontId="14" fillId="12" borderId="0" xfId="1" applyFont="1" applyFill="1" applyAlignment="1">
      <alignment horizontal="center" vertical="center"/>
    </xf>
    <xf numFmtId="43" fontId="7" fillId="12" borderId="0" xfId="1" applyFont="1" applyFill="1" applyAlignment="1">
      <alignment horizontal="center" vertical="center"/>
    </xf>
    <xf numFmtId="43" fontId="15" fillId="3" borderId="0" xfId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2" fontId="0" fillId="8" borderId="0" xfId="0" applyNumberFormat="1" applyFill="1"/>
    <xf numFmtId="0" fontId="4" fillId="15" borderId="0" xfId="0" applyFont="1" applyFill="1"/>
    <xf numFmtId="2" fontId="0" fillId="5" borderId="0" xfId="0" applyNumberFormat="1" applyFill="1"/>
    <xf numFmtId="8" fontId="0" fillId="13" borderId="0" xfId="0" applyNumberFormat="1" applyFill="1"/>
    <xf numFmtId="0" fontId="17" fillId="3" borderId="0" xfId="0" applyFont="1" applyFill="1" applyAlignment="1">
      <alignment horizontal="center"/>
    </xf>
    <xf numFmtId="43" fontId="14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3" fillId="0" borderId="0" xfId="0" applyFont="1"/>
    <xf numFmtId="166" fontId="0" fillId="0" borderId="0" xfId="0" applyNumberFormat="1"/>
    <xf numFmtId="165" fontId="20" fillId="2" borderId="0" xfId="0" applyNumberFormat="1" applyFont="1" applyFill="1" applyAlignment="1">
      <alignment horizontal="center" vertical="center"/>
    </xf>
  </cellXfs>
  <cellStyles count="4">
    <cellStyle name="Comma" xfId="1" builtinId="3"/>
    <cellStyle name="Dziesiętny 2 2" xfId="3" xr:uid="{39DDF1B0-DA7E-A247-B645-15D13D480F35}"/>
    <cellStyle name="Normal" xfId="0" builtinId="0"/>
    <cellStyle name="Normalny 2 2" xfId="2" xr:uid="{EF559D48-503C-0043-B7DA-71ACB77C8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name" id="{9E47FCA0-5032-E44D-92CE-B996C84DAC89}" userId="Noname" providerId="None"/>
  <person displayName="Adam Pragacz" id="{155AE5DD-003B-8747-9D6A-B5FF6FB2392B}" userId="S::adam.pragacz@medidesk.com::cae7f4c8-8ef6-496e-9235-ea63704cff41" providerId="AD"/>
  <person displayName="Karolina Tutaj" id="{CCA805DB-13A0-C94F-9D9D-4DE93F84D174}" userId="S::karolina.tutaj@medidesk.com::67e0f4f5-f949-475d-8113-d3f0ab535cd4" providerId="AD"/>
  <person displayName="Monika Gawrych" id="{CFA51334-C468-D442-B55B-BED561EC2CD5}" userId="S::monika.gawrych@medidesk.com::3d606eb2-29b5-439c-9816-cdb546145b78" providerId="AD"/>
  <person displayName="Gabriela Lemauviel" id="{4F81A39D-47FD-0746-83E3-A23B7BA8FEE7}" userId="S::gabriela.lemauviel@medidesk.com::f625b21c-3ecb-4b81-bd3c-8e38fccd0e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2-01-14T06:58:59.88" personId="{155AE5DD-003B-8747-9D6A-B5FF6FB2392B}" id="{654D572F-B770-E14F-806D-6DC40C1B5E5F}">
    <text>Nowe dane:
Specjalistyczna Poradnia Lekarska Alicja Karney Sp.zoo
ul. Rydygiera 13
01-793 Warszawa
NIP 5252817967, Regon - 385752010
KRS - 0000833290</text>
  </threadedComment>
  <threadedComment ref="N5" dT="2022-10-04T07:48:24.28" personId="{155AE5DD-003B-8747-9D6A-B5FF6FB2392B}" id="{30D2F569-2F38-8647-B3FB-497A2196A7F6}">
    <text>ustalic z Izą, czy wystawiay czy wylaczamy</text>
  </threadedComment>
  <threadedComment ref="E9" dT="2022-01-18T09:06:38.75" personId="{155AE5DD-003B-8747-9D6A-B5FF6FB2392B}" id="{2A70E741-6FBE-3F4A-8F0F-F5B113D17309}">
    <text>Nie wystawiac, ustalone z iza</text>
  </threadedComment>
  <threadedComment ref="F9" dT="2022-01-18T09:06:38.75" personId="{155AE5DD-003B-8747-9D6A-B5FF6FB2392B}" id="{9A2FCBCA-6F51-E14E-8394-35FBA7933A15}">
    <text>Nie wystawiac, ustalone z iza</text>
  </threadedComment>
  <threadedComment ref="F9" dT="2022-03-02T08:11:10.53" personId="{155AE5DD-003B-8747-9D6A-B5FF6FB2392B}" id="{8D90F06B-2895-4244-B5F9-ED87E7F768E8}" parentId="{9A2FCBCA-6F51-E14E-8394-35FBA7933A15}">
    <text>ustalone z Danielem</text>
  </threadedComment>
  <threadedComment ref="E15" dT="2022-02-28T14:16:48.26" personId="{4F81A39D-47FD-0746-83E3-A23B7BA8FEE7}" id="{6C514631-4CB7-214D-B3D2-2E127550594C}">
    <text>nowe dane: AM MEDIC sp. z o. o. ul. Pokrzywno 26B, 61-315 Poznań, NIP 7812018749, REGON: 388401095</text>
  </threadedComment>
  <threadedComment ref="K17" dT="2022-08-31T11:17:57.91" personId="{155AE5DD-003B-8747-9D6A-B5FF6FB2392B}" id="{35D78D3A-418B-5D42-BEA8-E037789A13EA}">
    <text>korekta na 0 zł</text>
  </threadedComment>
  <threadedComment ref="H26" dT="2022-04-28T20:04:13.35" personId="{155AE5DD-003B-8747-9D6A-B5FF6FB2392B}" id="{81B9EF95-0151-BD47-8B11-6953C38C26BB}">
    <text>ustalone z iza</text>
  </threadedComment>
  <threadedComment ref="G27" dT="2022-03-31T13:37:59.62" personId="{155AE5DD-003B-8747-9D6A-B5FF6FB2392B}" id="{CC2CB505-8AB0-1C42-B445-E8726EC69452}">
    <text>znizka 100%</text>
  </threadedComment>
  <threadedComment ref="H27" dT="2022-04-28T20:04:21.20" personId="{155AE5DD-003B-8747-9D6A-B5FF6FB2392B}" id="{07C077E3-FB33-2C47-911D-95579C8FD568}">
    <text>ustalone z iza</text>
  </threadedComment>
  <threadedComment ref="E29" dT="2021-11-29T14:43:43.27" personId="{155AE5DD-003B-8747-9D6A-B5FF6FB2392B}" id="{97D3621C-28F2-2045-924D-D732475CEB04}">
    <text>zgłoszenie od Piotra Palicy 29.11.2021</text>
  </threadedComment>
  <threadedComment ref="F29" dT="2021-11-29T14:43:43.27" personId="{155AE5DD-003B-8747-9D6A-B5FF6FB2392B}" id="{F1165379-6C58-394B-9A78-E2106E24C126}">
    <text>zgłoszenie od Bartka zielisnkiego 8.02.2022</text>
  </threadedComment>
  <threadedComment ref="L32" dT="2022-08-08T15:36:19.48" personId="{9E47FCA0-5032-E44D-92CE-B996C84DAC89}" id="{0B9D28E3-05D6-0A4B-A1FE-A0C2093D11A8}">
    <text>Od kiedy rezygnacja?</text>
  </threadedComment>
  <threadedComment ref="I33" dT="2022-05-31T23:53:03.44" personId="{155AE5DD-003B-8747-9D6A-B5FF6FB2392B}" id="{71018561-B42E-6D43-A59D-528E985F3063}">
    <text>sprawdzic w umowie</text>
  </threadedComment>
  <threadedComment ref="E35" dT="2021-12-28T11:03:30.31" personId="{155AE5DD-003B-8747-9D6A-B5FF6FB2392B}" id="{0E1D937A-C280-804E-B586-2A27DD4A6CF0}">
    <text>platnosc z gory na 12 miesiecy</text>
  </threadedComment>
  <threadedComment ref="O36" dT="2022-10-28T08:23:15.21" personId="{155AE5DD-003B-8747-9D6A-B5FF6FB2392B}" id="{FA0696D1-C5D8-524A-94D6-777E0980073F}">
    <text>przejście na Voip</text>
  </threadedComment>
  <threadedComment ref="J37" dT="2022-07-05T12:53:27.63" personId="{155AE5DD-003B-8747-9D6A-B5FF6FB2392B}" id="{E909968C-0FB6-3345-B22F-6EFC0BC24A8F}">
    <text>obniżenie abonamentu na 800 zł brutto do 31.12.2022</text>
  </threadedComment>
  <threadedComment ref="K37" dT="2022-06-29T08:52:18.61" personId="{4F81A39D-47FD-0746-83E3-A23B7BA8FEE7}" id="{0DDC10F6-7A06-7F49-8A93-0E79F1F97870}">
    <text>obniżenie abonamentu na 800 zł brutto do 31.12.2022</text>
  </threadedComment>
  <threadedComment ref="K37" dT="2022-07-14T12:53:13.20" personId="{155AE5DD-003B-8747-9D6A-B5FF6FB2392B}" id="{FCB38741-4C95-274D-8FB9-254B2BA68DCF}" parentId="{0DDC10F6-7A06-7F49-8A93-0E79F1F97870}">
    <text>Zoabczymy na czym stanie bo mają mieć za 0 do końca pazdziernika</text>
  </threadedComment>
  <threadedComment ref="K38" dT="2022-07-18T14:44:38.82" personId="{155AE5DD-003B-8747-9D6A-B5FF6FB2392B}" id="{12A10F79-E785-7C49-8CB4-457A9CA1C531}">
    <text>jednorazowa znizka cyprian 15.07.2022</text>
  </threadedComment>
  <threadedComment ref="E39" dT="2022-02-03T09:04:58.31" personId="{155AE5DD-003B-8747-9D6A-B5FF6FB2392B}" id="{CC0FFC4E-408F-8A4D-82E2-24F3D14BF118}">
    <text>aneks na nowa wartosc abonamentu</text>
  </threadedComment>
  <threadedComment ref="G40" dT="2022-04-05T05:41:09.88" personId="{155AE5DD-003B-8747-9D6A-B5FF6FB2392B}" id="{BE0CAAC2-5B2C-E848-A024-FCC63F07BD67}">
    <text>zniżka udzielona przez Izę</text>
  </threadedComment>
  <threadedComment ref="K43" dT="2022-06-17T13:02:14.37" personId="{155AE5DD-003B-8747-9D6A-B5FF6FB2392B}" id="{F67123A5-8D69-3948-9B30-9F56547E49A6}">
    <text>nowe dane, mail z 8.06.2022 od a.zielonka@sanatoriummarta.pl</text>
  </threadedComment>
  <threadedComment ref="H48" dT="2022-05-02T09:55:13.81" personId="{155AE5DD-003B-8747-9D6A-B5FF6FB2392B}" id="{12C09628-8D8F-0144-B508-857DB170FCF8}">
    <text>ustalone z izą</text>
  </threadedComment>
  <threadedComment ref="P50" dT="2022-12-29T10:29:14.33" personId="{155AE5DD-003B-8747-9D6A-B5FF6FB2392B}" id="{B26B02A6-6A24-CA43-8737-40C4A3249989}">
    <text>zniżka ze względu na awarie</text>
  </threadedComment>
  <threadedComment ref="U55" dT="2023-03-29T13:16:12.43" personId="{9E47FCA0-5032-E44D-92CE-B996C84DAC89}" id="{0E7EA3D2-5947-1D45-8F29-5F5E11997FC6}">
    <text>Uważać bo w automatycznych jest przesunięta data omyłkowo</text>
  </threadedComment>
  <threadedComment ref="U55" dT="2023-04-06T12:37:28.74" personId="{9E47FCA0-5032-E44D-92CE-B996C84DAC89}" id="{5F085B88-21A5-7149-9C74-6223476BBE62}" parentId="{0E7EA3D2-5947-1D45-8F29-5F5E11997FC6}">
    <text>Zmiana na VoIP</text>
  </threadedComment>
  <threadedComment ref="I60" dT="2022-05-24T12:16:25.25" personId="{155AE5DD-003B-8747-9D6A-B5FF6FB2392B}" id="{10C748B1-0A44-2040-8BDA-E9940DA24FD9}">
    <text>dodatkowe konto Karolina Ponikly 23.05.2022</text>
  </threadedComment>
  <threadedComment ref="W61" dT="2023-08-07T14:07:01.84" personId="{CCA805DB-13A0-C94F-9D9D-4DE93F84D174}" id="{DF82E842-B71D-BD40-9ABD-5E06DFBE2ADD}">
    <text>Wypowiedzenie umowy, ostania fv we wrześniu</text>
  </threadedComment>
  <threadedComment ref="X61" dT="2023-08-07T14:07:01.84" personId="{CCA805DB-13A0-C94F-9D9D-4DE93F84D174}" id="{B6F8CAE1-D3C8-EB42-837A-83C5A651D4FB}">
    <text>Wypowiedzenie umowy, ostania fv we wrześniu</text>
  </threadedComment>
  <threadedComment ref="W62" dT="2023-08-07T14:07:01.84" personId="{CCA805DB-13A0-C94F-9D9D-4DE93F84D174}" id="{00837897-B3A7-0442-AF65-17FB2DEA1EDA}">
    <text>Wypowiedzenie umowy, ostania fv we wrześniu</text>
  </threadedComment>
  <threadedComment ref="X62" dT="2023-08-07T14:07:01.84" personId="{CCA805DB-13A0-C94F-9D9D-4DE93F84D174}" id="{5DEBDBA9-7BEA-C246-86F9-DEA3974B32ED}">
    <text>Wypowiedzenie umowy, ostania fv we wrześniu</text>
  </threadedComment>
  <threadedComment ref="W63" dT="2023-08-07T14:07:01.84" personId="{CCA805DB-13A0-C94F-9D9D-4DE93F84D174}" id="{91E2DFA9-1ACB-E744-B0FF-97576CDD304B}">
    <text>Wypowiedzenie umowy, ostania fv we wrześniu</text>
  </threadedComment>
  <threadedComment ref="X63" dT="2023-08-07T14:07:01.84" personId="{CCA805DB-13A0-C94F-9D9D-4DE93F84D174}" id="{A007D6E8-62F3-CB4E-9754-4286F7C720F0}">
    <text>Wypowiedzenie umowy, ostania fv we wrześniu</text>
  </threadedComment>
  <threadedComment ref="W64" dT="2023-08-07T14:07:01.84" personId="{CCA805DB-13A0-C94F-9D9D-4DE93F84D174}" id="{932DB7E0-C45A-3547-A6D5-F8758FBEBDBC}">
    <text>Wypowiedzenie umowy, ostania fv we wrześniu</text>
  </threadedComment>
  <threadedComment ref="X64" dT="2023-08-07T14:07:01.84" personId="{CCA805DB-13A0-C94F-9D9D-4DE93F84D174}" id="{2066925B-2781-9E4C-9637-5851688688E3}">
    <text>Wypowiedzenie umowy, ostania fv we wrześniu</text>
  </threadedComment>
  <threadedComment ref="S66" dT="2023-04-05T08:43:33.52" personId="{9E47FCA0-5032-E44D-92CE-B996C84DAC89}" id="{8A0F19B4-1422-E549-80C8-B4AF35B7D752}">
    <text>Zniżka -20% awaria połączeń</text>
  </threadedComment>
  <threadedComment ref="Q68" dT="2023-01-27T09:38:43.16" personId="{CFA51334-C468-D442-B55B-BED561EC2CD5}" id="{AC804A90-6214-894A-83CD-80C39B8216CC}">
    <text>OD 01.01.23 CESJA - ZMIANA NA BELGRAVIA NIP: 9592055978</text>
  </threadedComment>
  <threadedComment ref="Z68" dT="2023-10-27T09:05:25.55" personId="{CCA805DB-13A0-C94F-9D9D-4DE93F84D174}" id="{8BAB7649-82BA-684A-A8B6-34680C29A1AE}">
    <text xml:space="preserve">Koniec umowy we wrześniu
</text>
  </threadedComment>
  <threadedComment ref="J70" dT="2022-06-17T11:37:56.23" personId="{155AE5DD-003B-8747-9D6A-B5FF6FB2392B}" id="{0C5CAC90-3D2E-CD40-A4E5-853B78BA6C05}">
    <text>po 6 miesiacach 1000 netto</text>
  </threadedComment>
  <threadedComment ref="G75" dT="2022-03-31T14:12:34.68" personId="{155AE5DD-003B-8747-9D6A-B5FF6FB2392B}" id="{582B7D48-72D7-3C4B-BF94-5B4EB6D96064}">
    <text>znizka ustalona z iza</text>
  </threadedComment>
  <threadedComment ref="I75" dT="2022-06-01T08:42:55.61" personId="{155AE5DD-003B-8747-9D6A-B5FF6FB2392B}" id="{129CEA71-5B2D-FF44-A3BE-31EBF0AC3A8E}">
    <text>ustalone z iza</text>
  </threadedComment>
  <threadedComment ref="E78" dT="2022-01-31T14:21:35.13" personId="{155AE5DD-003B-8747-9D6A-B5FF6FB2392B}" id="{1141D4FD-E160-3647-9A4B-FCCA1E473411}">
    <text>znizka od izy</text>
  </threadedComment>
  <threadedComment ref="AB79" dT="2023-12-08T09:01:54.61" personId="{CCA805DB-13A0-C94F-9D9D-4DE93F84D174}" id="{4AD4EAD7-87D1-9A42-BC37-3D47623C6B42}">
    <text xml:space="preserve">Ostania fv w 11.2023
</text>
  </threadedComment>
  <threadedComment ref="AB80" dT="2023-11-23T14:32:29.63" personId="{CCA805DB-13A0-C94F-9D9D-4DE93F84D174}" id="{9160FBFB-BFCE-5B4D-986D-617B7882A623}">
    <text>Ostatnia fv w listopadzie</text>
  </threadedComment>
  <threadedComment ref="I81" dT="2022-05-26T14:43:38.02" personId="{155AE5DD-003B-8747-9D6A-B5FF6FB2392B}" id="{3DF3CA6D-C7D5-894B-B4D4-29075EEF3B04}">
    <text>dodatkowe konto Karolina Ponikły</text>
  </threadedComment>
  <threadedComment ref="AC86" dT="2023-10-25T12:47:09.36" personId="{CCA805DB-13A0-C94F-9D9D-4DE93F84D174}" id="{25405691-3C0D-A149-BC62-4E6F2FC2D586}">
    <text>Wypowiedzieli umowę, ostatnia fv 31/01</text>
  </threadedComment>
  <threadedComment ref="AC87" dT="2024-01-25T10:15:44.71" personId="{CCA805DB-13A0-C94F-9D9D-4DE93F84D174}" id="{3A3A3371-AFDE-ED41-AD73-FA395F01429F}">
    <text>Ostania fv w styczniu, wypowiedzieli umowę</text>
  </threadedComment>
  <threadedComment ref="U89" dT="2023-05-02T08:55:18.18" personId="{9E47FCA0-5032-E44D-92CE-B996C84DAC89}" id="{86B4C4E1-C3A4-2C48-97C3-A91B96234334}">
    <text>Upsell o jedno konto Białystok</text>
  </threadedComment>
  <threadedComment ref="AD89" dT="2024-01-17T08:52:11.56" personId="{CCA805DB-13A0-C94F-9D9D-4DE93F84D174}" id="{26F51806-E4C7-6845-A91C-A7708EC70809}">
    <text>Ostania fv w lutym - złożyli wypowiedzenie</text>
  </threadedComment>
  <threadedComment ref="AF90" dT="2024-03-28T15:48:07.98" personId="{CCA805DB-13A0-C94F-9D9D-4DE93F84D174}" id="{24F7F2D3-2F95-1044-A813-C013A6C187F1}">
    <text>Wypowiedzenie - ostatnia fv w marcu</text>
  </threadedComment>
  <threadedComment ref="AG91" dT="2024-03-28T15:48:07.98" personId="{CCA805DB-13A0-C94F-9D9D-4DE93F84D174}" id="{5215DFF4-A230-F94D-BCE8-CF48CF049F84}">
    <text>Wypowiedzenie - ostatnia fv w kwetniu</text>
  </threadedComment>
  <threadedComment ref="AA92" dT="2023-10-31T08:00:41.27" personId="{CCA805DB-13A0-C94F-9D9D-4DE93F84D174}" id="{3EE3E03B-6FFF-B443-9E8D-BB388588653D}">
    <text>ZAM-237 dodatkowe dwa konta</text>
  </threadedComment>
  <threadedComment ref="AC92" dT="2023-12-22T13:07:17.33" personId="{CCA805DB-13A0-C94F-9D9D-4DE93F84D174}" id="{71FBDF2C-27EA-4749-81EB-11EAC442C013}">
    <text>Od stycznia normalnie 716,45</text>
  </threadedComment>
  <threadedComment ref="AE92" dT="2024-02-28T14:40:56.53" personId="{CCA805DB-13A0-C94F-9D9D-4DE93F84D174}" id="{46B91D4D-3E46-2246-A027-06D72CEEF9A9}">
    <text xml:space="preserve">Ostatnia fv w marcu, wypowiedzenie </text>
  </threadedComment>
  <threadedComment ref="AE93" dT="2024-01-17T09:35:58.05" personId="{CCA805DB-13A0-C94F-9D9D-4DE93F84D174}" id="{19355406-4DFE-8140-9AC1-515FFE3BC029}">
    <text xml:space="preserve">Ostania fv w marcu. Złożyli wypowiedzenie (Do weryfikacji u Izy)
</text>
  </threadedComment>
  <threadedComment ref="Z94" dT="2023-09-28T12:11:49.63" personId="{CCA805DB-13A0-C94F-9D9D-4DE93F84D174}" id="{F2620687-6212-874E-BEA6-4036A5BC962B}">
    <text>+1517,5 za 3 rate wdrożenia</text>
  </threadedComment>
  <threadedComment ref="G95" dT="2022-03-09T14:18:13.91" personId="{155AE5DD-003B-8747-9D6A-B5FF6FB2392B}" id="{8DABC58E-8E99-394D-B566-A10937C0BF0D}">
    <text>Od: Aleksandra Dziekańska &lt;aleksandra.dziekanska@medidesk.com&gt;
Wysłane: poniedziałek, 14 lutego 2022 14:49
Do: Gabriela Lemauviel &lt;gabriela.lemauviel@medidesk.com&gt;; Katarzyna Jaryczewska &lt;katarzyna.jaryczewska@medidesk.com&gt;
DW: Administration &lt;administration@medidesk.com&gt;
Temat: Max Hemp: - nowe konto
Cześć, 
Placówka Max Hemp zdecydowała się na nowe konto do logowania dla rejestratorki, w związku z tym prośba o dodanie 159zł netto/ miesiąc do faktury.
Dziękuję 🙂 </text>
  </threadedComment>
  <threadedComment ref="AF96" dT="2024-04-11T10:26:46.43" personId="{CCA805DB-13A0-C94F-9D9D-4DE93F84D174}" id="{A49731F1-3A6F-934A-A8AA-A59E56A4C8E5}">
    <text>Ostatnia FV w kwietniu, złożyli wypowiedzenie</text>
  </threadedComment>
  <threadedComment ref="AG96" dT="2024-03-28T15:48:07.98" personId="{CCA805DB-13A0-C94F-9D9D-4DE93F84D174}" id="{B499EF35-96DB-3E42-B0C9-120B6CE72193}">
    <text>Wypowiedzenie - ostatnia fv w kwetniu</text>
  </threadedComment>
  <threadedComment ref="AG97" dT="2024-05-17T10:56:21.77" personId="{CCA805DB-13A0-C94F-9D9D-4DE93F84D174}" id="{965BC709-43B1-494B-B6E8-34051C0D3456}">
    <text>Ostatnia fv w maju, wypowiedzenie</text>
  </threadedComment>
  <threadedComment ref="G100" dT="2022-03-02T08:39:52.28" personId="{155AE5DD-003B-8747-9D6A-B5FF6FB2392B}" id="{3734F4B4-A634-BE4B-9081-C277E6A55F93}">
    <text xml:space="preserve">Cześć, 
Stomatologia Sypień zwiększyła liczbę użytkowników Aplikacji o jedno dodatkowe konto. 
Bardzo proszę o uwzględnienie dodatkowej opłaty w miesięcznym abonamencie - 159 zł netto/miesiąc. 
Dziękuję i miłego dnia!
Karolina Ponikły
</text>
  </threadedComment>
  <threadedComment ref="H102" dT="2022-04-29T11:33:06.86" personId="{155AE5DD-003B-8747-9D6A-B5FF6FB2392B}" id="{D8E22521-4113-F143-A9E1-DD6CE8E59535}">
    <text>obniżka na 6 miesiecy</text>
  </threadedComment>
  <threadedComment ref="J102" dT="2022-06-29T12:51:05.86" personId="{4F81A39D-47FD-0746-83E3-A23B7BA8FEE7}" id="{B8719FAF-84C0-1749-A259-A23C43A9F51F}">
    <text>wystawić 2 FV w wfirmie</text>
  </threadedComment>
  <threadedComment ref="S105" dT="2023-03-29T12:19:35.56" personId="{9E47FCA0-5032-E44D-92CE-B996C84DAC89}" id="{DD661895-FBE8-1D44-9AD0-53BEDD54C1C3}">
    <text>Wystawiamy 100 zł do końca maja, potem normalnie 1000</text>
  </threadedComment>
  <threadedComment ref="T105" dT="2023-03-29T12:19:35.56" personId="{9E47FCA0-5032-E44D-92CE-B996C84DAC89}" id="{C1E3BFAD-7B50-DE49-B8B5-B6C934707537}">
    <text>Wystawiamy 100 zł do końca maja, potem normalnie 1000</text>
  </threadedComment>
  <threadedComment ref="U105" dT="2023-03-29T12:19:35.56" personId="{9E47FCA0-5032-E44D-92CE-B996C84DAC89}" id="{0E17754A-6F32-3E40-A67F-AE1940EFDEA3}">
    <text>Wystawiamy 100 zł do końca maja, potem normalnie 1000</text>
  </threadedComment>
  <threadedComment ref="K106" dT="2022-07-14T13:24:48.13" personId="{155AE5DD-003B-8747-9D6A-B5FF6FB2392B}" id="{856B3EC7-A9CF-E348-843F-BCDC50474BF9}">
    <text>przez pierwsze 24 miesiące z upustem: 1093,20 zł netto
po 24 miesiącach kwota docelowa: 1261,80 zł netto</text>
  </threadedComment>
  <threadedComment ref="Q106" dT="2023-03-03T14:23:22.04" personId="{9E47FCA0-5032-E44D-92CE-B996C84DAC89}" id="{A414CB48-C33B-144B-8C36-4FF4FDC6BF26}">
    <text>Wyjaśniana była awaria, nie nasza wina więc dalej wystawiamy</text>
  </threadedComment>
  <threadedComment ref="AB108" dT="2023-12-12T12:00:01.68" personId="{CCA805DB-13A0-C94F-9D9D-4DE93F84D174}" id="{3BE5F3E3-B17A-F44F-A0E2-0B6CBE1B2316}">
    <text>Fakturowanie CDT Medicus Lublin</text>
  </threadedComment>
  <threadedComment ref="AD109" dT="2024-07-24T13:06:10.51" personId="{CCA805DB-13A0-C94F-9D9D-4DE93F84D174}" id="{4EE55947-7ECF-E743-8820-5E8F351D7A85}">
    <text xml:space="preserve">dodane do wizyt domowych - nie rozdzielamy </text>
  </threadedComment>
  <threadedComment ref="AI110" dT="2024-06-27T08:26:56.01" personId="{CCA805DB-13A0-C94F-9D9D-4DE93F84D174}" id="{A1B84BE4-CD4C-534B-BAF0-5301680347BB}">
    <text>W maju złożyli wypowiedzenie - weryfikacja</text>
  </threadedComment>
  <threadedComment ref="AK111" dT="2024-05-22T10:26:50.78" personId="{CCA805DB-13A0-C94F-9D9D-4DE93F84D174}" id="{88C6FDC2-6406-8143-9A68-5A219A8CD8F4}">
    <text>Złożyli wypowiedzenie w maju</text>
  </threadedComment>
  <threadedComment ref="AK112" dT="2024-05-22T10:26:50.78" personId="{CCA805DB-13A0-C94F-9D9D-4DE93F84D174}" id="{A9FE6305-ECE6-E44F-9E8F-02789E3C6B95}">
    <text>Złożyli wypowiedzenie w maju</text>
  </threadedComment>
  <threadedComment ref="AK113" dT="2024-05-22T10:26:50.78" personId="{CCA805DB-13A0-C94F-9D9D-4DE93F84D174}" id="{BE3F17D9-B9C2-3041-81C0-414538B41877}">
    <text>Złożyli wypowiedzenie w maju</text>
  </threadedComment>
  <threadedComment ref="AK114" dT="2024-05-22T10:26:50.78" personId="{CCA805DB-13A0-C94F-9D9D-4DE93F84D174}" id="{D421EC11-75A0-8840-BEAE-563800081D70}">
    <text>Złożyli wypowiedzenie w maju</text>
  </threadedComment>
  <threadedComment ref="AK115" dT="2024-05-22T10:26:50.78" personId="{CCA805DB-13A0-C94F-9D9D-4DE93F84D174}" id="{187597D3-4BB2-5445-ACD2-8ACC61701C89}">
    <text>Złożyli wypowiedzenie w maju</text>
  </threadedComment>
  <threadedComment ref="AD118" dT="2024-02-27T11:16:12.33" personId="{CCA805DB-13A0-C94F-9D9D-4DE93F84D174}" id="{2B03D74E-AA2F-DC49-AD0D-58AEBF9DED45}">
    <text>Faktura już opłacona, rozliczyć nadpłatę</text>
  </threadedComment>
  <threadedComment ref="AL118" dT="2024-10-25T10:20:08.61" personId="{CCA805DB-13A0-C94F-9D9D-4DE93F84D174}" id="{81387DB3-5F8D-3B40-B7AE-7FD8BBDD8BAB}">
    <text xml:space="preserve">Rozliczyć nadpłatę
</text>
  </threadedComment>
  <threadedComment ref="AM118" dT="2024-08-01T05:56:50.51" personId="{CCA805DB-13A0-C94F-9D9D-4DE93F84D174}" id="{6FDBC147-A34C-894B-9637-9902BF93B7E4}">
    <text xml:space="preserve">Złożyli wypowiedzenie w lipcu - do weryfikacji u Izy
</text>
  </threadedComment>
  <threadedComment ref="AL119" dT="2024-10-30T09:27:28.66" personId="{CCA805DB-13A0-C94F-9D9D-4DE93F84D174}" id="{59191915-0BE9-D24E-A3C4-4B2B6670C34B}">
    <text xml:space="preserve">Ostatnia fv w październiku
</text>
  </threadedComment>
  <threadedComment ref="K122" dT="2022-07-11T09:24:04.87" personId="{155AE5DD-003B-8747-9D6A-B5FF6FB2392B}" id="{39C754CE-5EC1-C74D-97A7-277F71A682D5}">
    <text>dodac do automatycznych</text>
  </threadedComment>
  <threadedComment ref="AK122" dT="2024-09-27T11:28:26.29" personId="{CCA805DB-13A0-C94F-9D9D-4DE93F84D174}" id="{C311766F-32F9-8742-A065-4ECB2935B5DC}">
    <text>Przez 3 msc 99 zł</text>
  </threadedComment>
  <threadedComment ref="AN122" dT="2024-08-27T09:42:21.98" personId="{CCA805DB-13A0-C94F-9D9D-4DE93F84D174}" id="{D02CE754-F3BA-C342-A380-B9808E8774C9}">
    <text>Złożyli wypowiedzenie 26.08 - weryfikacja u Izy</text>
  </threadedComment>
  <threadedComment ref="AN122" dT="2024-10-29T10:10:17.47" personId="{CCA805DB-13A0-C94F-9D9D-4DE93F84D174}" id="{A3977312-202B-DC4B-844C-7D516A5B8976}" parentId="{D02CE754-F3BA-C342-A380-B9808E8774C9}">
    <text>Ostania fv w listopadzie</text>
  </threadedComment>
  <threadedComment ref="AL123" dT="2024-08-09T12:40:12.61" personId="{CCA805DB-13A0-C94F-9D9D-4DE93F84D174}" id="{48DAD31E-4379-BE49-AE72-11703897E6B0}">
    <text>Złożyli wypowiedzenie w lipcu, ostatnia fv 10.2024 - weryfikować u Izy</text>
  </threadedComment>
  <threadedComment ref="AL123" dT="2024-11-22T10:15:14.40" personId="{CCA805DB-13A0-C94F-9D9D-4DE93F84D174}" id="{F17BE064-E906-3241-8015-EBFF9B13ABA2}" parentId="{48DAD31E-4379-BE49-AE72-11703897E6B0}">
    <text>Aktualizacja - klient zostaje</text>
  </threadedComment>
  <threadedComment ref="AO124" dT="2024-11-04T10:43:36.52" personId="{CCA805DB-13A0-C94F-9D9D-4DE93F84D174}" id="{5C4BC434-42B6-CF44-A57B-A6650BB89380}">
    <text>Ostatnia fv w styczniu</text>
  </threadedComment>
  <threadedComment ref="AG125" dT="2024-05-07T10:21:35.78" personId="{CCA805DB-13A0-C94F-9D9D-4DE93F84D174}" id="{3D12B392-90AD-6146-9194-17C42FD85DB7}">
    <text>Obniżka abonamentu na 6 miesięcy - 452,20 zł, zgodnie z aneksem</text>
  </threadedComment>
  <threadedComment ref="AM125" dT="2024-09-26T08:31:50.75" personId="{CCA805DB-13A0-C94F-9D9D-4DE93F84D174}" id="{7303FFC4-EC42-774C-8A1D-3CBD885A5AA9}">
    <text>Zgodnie z Aneksem od 01.11 powrót do pełnego abonamentu</text>
  </threadedComment>
  <threadedComment ref="AO125" dT="2024-12-02T12:37:43.21" personId="{CCA805DB-13A0-C94F-9D9D-4DE93F84D174}" id="{0844AD5A-7A33-7A4A-90C0-3FEE0824DDCC}">
    <text>Ostania fv w grudniu</text>
  </threadedComment>
  <threadedComment ref="AO126" dT="2024-11-29T12:30:53.36" personId="{CCA805DB-13A0-C94F-9D9D-4DE93F84D174}" id="{A7DB625A-833C-3043-86F3-7A50CF6E69F6}">
    <text xml:space="preserve">ostania fv w grudniu
</text>
  </threadedComment>
  <threadedComment ref="AI127" dT="2024-07-30T07:48:34.89" personId="{CCA805DB-13A0-C94F-9D9D-4DE93F84D174}" id="{63A2B638-257D-5748-904E-7EC66DA9A43A}">
    <text xml:space="preserve">Faktura na Scanmed
</text>
  </threadedComment>
  <threadedComment ref="AN127" dT="2024-09-30T12:17:38.07" personId="{CCA805DB-13A0-C94F-9D9D-4DE93F84D174}" id="{1047ED95-7B9D-3B4B-B1A5-77D5EB733AB3}">
    <text>Ostatnia FV grudzień</text>
  </threadedComment>
  <threadedComment ref="K130" dT="2022-06-17T11:39:20.59" personId="{155AE5DD-003B-8747-9D6A-B5FF6FB2392B}" id="{C2EE6D6A-527E-DD4C-A7BC-7620C92F6803}">
    <text>Wystawiamy w telco</text>
  </threadedComment>
  <threadedComment ref="H132" dT="2022-03-31T10:31:41.93" personId="{155AE5DD-003B-8747-9D6A-B5FF6FB2392B}" id="{C15ADBF5-6CD3-6B4E-AE11-DA237795DC9F}">
    <text>Karolina Hyza, 31.03.2022 jedno dodatkowe konto 159 zl</text>
  </threadedComment>
  <threadedComment ref="P132" dT="2022-12-28T15:45:23.88" personId="{155AE5DD-003B-8747-9D6A-B5FF6FB2392B}" id="{AAA29239-F144-744E-90E7-4C9ACCA8F155}">
    <text>nowy user od 29.11.2022</text>
  </threadedComment>
  <threadedComment ref="P132" dT="2022-12-29T10:31:02.69" personId="{155AE5DD-003B-8747-9D6A-B5FF6FB2392B}" id="{214FDC51-3B4D-A440-BB18-9A9CCC5AE545}" parentId="{AAA29239-F144-744E-90E7-4C9ACCA8F155}">
    <text>Zniżka -10% ze wzgldu na awarie</text>
  </threadedComment>
  <threadedComment ref="AQ132" dT="2024-11-28T14:45:57.78" personId="{CCA805DB-13A0-C94F-9D9D-4DE93F84D174}" id="{BDA0E555-4D9E-A249-9B8C-8FF9DEA14B6B}">
    <text>Klient złożył wypowiedzenie w listopadzie, ostatnia fv w lutym</text>
  </threadedComment>
  <threadedComment ref="AP133" dT="2025-01-31T12:40:37.39" personId="{CCA805DB-13A0-C94F-9D9D-4DE93F84D174}" id="{83402CE8-D3D1-C74E-8D99-03C820EC601F}">
    <text>Ostatnia fv w lutym, wypowiedzenie z 31.01.2025</text>
  </threadedComment>
  <threadedComment ref="AH134" dT="2024-06-27T13:01:54.27" personId="{CCA805DB-13A0-C94F-9D9D-4DE93F84D174}" id="{806D44E5-F3BD-F44E-B4E7-37D28591E9FC}">
    <text xml:space="preserve">Dodatkowy Login Zgodnie z aneksem od Gosi z 11.06
</text>
  </threadedComment>
  <threadedComment ref="AK134" dT="2024-09-24T14:14:09.76" personId="{CCA805DB-13A0-C94F-9D9D-4DE93F84D174}" id="{960C5F71-4619-CC4D-B4CF-E08D45852849}">
    <text xml:space="preserve">Dodatkowe konto, zgłoszenie od K. Ponikły mailowo 24.09
</text>
  </threadedComment>
  <threadedComment ref="AO134" dT="2025-01-30T08:45:23.91" personId="{CCA805DB-13A0-C94F-9D9D-4DE93F84D174}" id="{D87C20BD-010F-BE44-8DFB-E1F480934165}">
    <text xml:space="preserve">Zgłoszenie Karoliny Ponikły (mail z 29.01)
</text>
  </threadedComment>
  <threadedComment ref="AO134" dT="2025-01-30T08:45:57.40" personId="{CCA805DB-13A0-C94F-9D9D-4DE93F84D174}" id="{84E9E933-1A2B-A643-9B5F-13171ED9F64E}" parentId="{D87C20BD-010F-BE44-8DFB-E1F480934165}">
    <text xml:space="preserve">Drugie konto : ZAM-557
</text>
  </threadedComment>
  <threadedComment ref="AP134" dT="2025-01-30T08:45:23.91" personId="{CCA805DB-13A0-C94F-9D9D-4DE93F84D174}" id="{998D3F06-C955-5B4B-9696-EEA66DB79DD2}">
    <text xml:space="preserve">Zgłoszenie Karoliny Ponikły (mail z 29.01)
</text>
  </threadedComment>
  <threadedComment ref="AP134" dT="2025-01-30T08:45:57.40" personId="{CCA805DB-13A0-C94F-9D9D-4DE93F84D174}" id="{6B58BDAF-7ED7-FB4A-80F8-33633D11D4F9}" parentId="{998D3F06-C955-5B4B-9696-EEA66DB79DD2}">
    <text xml:space="preserve">Drugie konto : ZAM-557
</text>
  </threadedComment>
  <threadedComment ref="AR134" dT="2024-12-30T08:59:49.89" personId="{CCA805DB-13A0-C94F-9D9D-4DE93F84D174}" id="{4A584B6C-E9C0-3746-8D04-47BADC60DA8E}">
    <text>Ostatnia fv w marcu</text>
  </threadedComment>
  <threadedComment ref="E135" dT="2022-02-28T14:09:47.07" personId="{4F81A39D-47FD-0746-83E3-A23B7BA8FEE7}" id="{52620AB8-E9A1-7944-A198-021FC8C09DE9}">
    <text>nowe dane: OPTOVET sp. z o. o., ul. Poprzeczna 72, 51-167 Wrocław, NIP 8952237825</text>
  </threadedComment>
  <threadedComment ref="AO135" dT="2024-11-27T13:32:09.12" personId="{CCA805DB-13A0-C94F-9D9D-4DE93F84D174}" id="{392960D7-E0C8-0645-8054-650B4E1D48E0}">
    <text xml:space="preserve">ostatnia fv w grudniu, klient złożył wypowiedzenie </text>
  </threadedComment>
  <threadedComment ref="J136" dT="2022-06-17T11:28:54.51" personId="{155AE5DD-003B-8747-9D6A-B5FF6FB2392B}" id="{B52E7A38-6C2E-F941-941D-5947755406FB}">
    <text>Wystawiamy w fakturach za telco</text>
  </threadedComment>
  <threadedComment ref="AR137" dT="2025-03-05T14:50:40.56" personId="{CCA805DB-13A0-C94F-9D9D-4DE93F84D174}" id="{61800963-23DD-B845-AD6F-FABA70EA0D7B}">
    <text>Ostatnia fv w marcu</text>
  </threadedComment>
  <threadedComment ref="AR139" dT="2025-03-12T12:13:57.04" personId="{CCA805DB-13A0-C94F-9D9D-4DE93F84D174}" id="{F7A67D6F-3E17-2B41-B96A-DFB393CB1A96}">
    <text>Wypowiedzenie - Ostatnia fv w marcu</text>
  </threadedComment>
  <threadedComment ref="AQ141" dT="2024-10-14T12:30:30.77" personId="{CCA805DB-13A0-C94F-9D9D-4DE93F84D174}" id="{1BB510ED-69D3-714C-B509-A5EE487A21E4}">
    <text>Wypowiedzenie złożone w 10.2024</text>
  </threadedComment>
  <threadedComment ref="AQ141" dT="2024-11-18T12:20:35.41" personId="{CCA805DB-13A0-C94F-9D9D-4DE93F84D174}" id="{B14206FE-326D-534B-8389-2FD2DB2098D6}" parentId="{1BB510ED-69D3-714C-B509-A5EE487A21E4}">
    <text>Złożone ponownie w listopadzie</text>
  </threadedComment>
  <threadedComment ref="K142" dT="2022-08-08T15:31:56.92" personId="{9E47FCA0-5032-E44D-92CE-B996C84DAC89}" id="{484F3C6B-0007-E14E-9CD8-14B721A3A080}">
    <text>przez 12 miesięcy, potem 908 zł</text>
  </threadedComment>
  <threadedComment ref="AS143" dT="2024-10-30T14:54:50.85" personId="{CCA805DB-13A0-C94F-9D9D-4DE93F84D174}" id="{040E916C-DC1A-B349-93F3-93FB32A059CB}">
    <text>Abonament naliczany od 7 msc</text>
  </threadedComment>
  <threadedComment ref="AS143" dT="2025-05-05T10:46:31.15" personId="{CCA805DB-13A0-C94F-9D9D-4DE93F84D174}" id="{54C10F8E-2F3D-884F-BE8E-318A1CB5A96A}" parentId="{040E916C-DC1A-B349-93F3-93FB32A059CB}">
    <text>Klient zrezygnował</text>
  </threadedComment>
  <threadedComment ref="E145" dT="2021-12-28T11:02:45.87" personId="{155AE5DD-003B-8747-9D6A-B5FF6FB2392B}" id="{A7783CBF-52E7-0C40-A9B0-FF176283A532}">
    <text>platnosc z gory za 12 miesiecy</text>
  </threadedComment>
  <threadedComment ref="AR145" dT="2025-02-25T14:15:29.57" personId="{CCA805DB-13A0-C94F-9D9D-4DE93F84D174}" id="{D786F6A3-3E6C-6C4D-B42B-BB4A73EACD3B}">
    <text>Wypowiedzenie z dnia 21.02.2025</text>
  </threadedComment>
  <threadedComment ref="N146" dT="2022-10-03T11:04:04.73" personId="{155AE5DD-003B-8747-9D6A-B5FF6FB2392B}" id="{6B098231-C573-034C-BF0C-6C95B486C7A4}">
    <text>+500 zł poradnia dla dorosłych</text>
  </threadedComment>
  <threadedComment ref="M147" dT="2022-04-29T06:12:56.08" personId="{155AE5DD-003B-8747-9D6A-B5FF6FB2392B}" id="{FBBE20D8-5240-6D4F-ADB7-9217578D3602}">
    <text>Wystawic wdrożenie po 6 miesiącach</text>
  </threadedComment>
  <threadedComment ref="AR147" dT="2025-02-21T08:49:54.12" personId="{CCA805DB-13A0-C94F-9D9D-4DE93F84D174}" id="{A8E89848-92C8-5A4E-ABAD-43A0151D123F}">
    <text>Klient złożył wypowiedzenie, ostatnia fv w marcu</text>
  </threadedComment>
  <threadedComment ref="AR148" dT="2025-02-21T08:49:54.12" personId="{CCA805DB-13A0-C94F-9D9D-4DE93F84D174}" id="{4143031E-5475-1849-B21D-1EC62555F756}">
    <text>Klient złożył wypowiedzenie w lutym, do weryfikacji</text>
  </threadedComment>
  <threadedComment ref="AS149" dT="2025-03-12T12:13:57.04" personId="{CCA805DB-13A0-C94F-9D9D-4DE93F84D174}" id="{8EA5C376-3850-6F41-B594-7F2119598248}">
    <text>Wypowiedzenie - Ostatnia fv w kwietniu</text>
  </threadedComment>
  <threadedComment ref="AS150" dT="2025-05-19T13:24:48.17" personId="{CCA805DB-13A0-C94F-9D9D-4DE93F84D174}" id="{98A5AE0C-6E1D-434C-B5F3-BA2F595EA5D2}">
    <text>Klient zrezygnował, jednak za maj jeszcze ¼ abonamentu  - info od K. Ponikły mail z 14.05.2025</text>
  </threadedComment>
  <threadedComment ref="AT150" dT="2024-12-30T08:59:49.89" personId="{CCA805DB-13A0-C94F-9D9D-4DE93F84D174}" id="{CCAC9F4E-3F57-9E49-A691-01100313DC2C}">
    <text>Do weryfikacji</text>
  </threadedComment>
  <threadedComment ref="AT150" dT="2025-04-16T07:37:41.00" personId="{CCA805DB-13A0-C94F-9D9D-4DE93F84D174}" id="{6DD2A218-35C5-954E-A83B-BE5BB5EF838A}" parentId="{CCAC9F4E-3F57-9E49-A691-01100313DC2C}">
    <text>Ostatnia fv 30.04</text>
  </threadedComment>
  <threadedComment ref="AQ151" dT="2025-02-11T08:27:18.66" personId="{CCA805DB-13A0-C94F-9D9D-4DE93F84D174}" id="{CFA90144-0503-9A47-8C86-84757C309498}">
    <text xml:space="preserve">Zmiana abonamentu i płatność z góry od 01.03 </text>
  </threadedComment>
  <threadedComment ref="AT151" dT="2025-02-12T15:54:44.37" personId="{CCA805DB-13A0-C94F-9D9D-4DE93F84D174}" id="{E51B30FA-B01E-D245-8B9C-2A3EBB1AE120}">
    <text xml:space="preserve">Wypowiedzenie złożone 21.02.2025
</text>
  </threadedComment>
  <threadedComment ref="AA152" dT="2023-11-29T10:33:52.54" personId="{CCA805DB-13A0-C94F-9D9D-4DE93F84D174}" id="{672494CA-2420-034E-AA0E-67185CD42C47}">
    <text>733 zł przez pierwsze 6 miesięcy, potem 1098,75</text>
  </threadedComment>
  <threadedComment ref="AG152" dT="2024-05-29T13:32:19.81" personId="{CCA805DB-13A0-C94F-9D9D-4DE93F84D174}" id="{C63AB574-BA76-794C-A06B-EBC9ADD71CBF}">
    <text xml:space="preserve">Rabat przedłużony na 3 miesiące przez Daniela </text>
  </threadedComment>
  <threadedComment ref="AJ152" dT="2024-08-26T13:01:44.71" personId="{CCA805DB-13A0-C94F-9D9D-4DE93F84D174}" id="{137AB182-D235-2646-A4AC-6AC531C0A749}">
    <text>Kwotę 733 zostawiamy do listopada 2024</text>
  </threadedComment>
  <threadedComment ref="AL152" dT="2024-09-06T08:13:19.43" personId="{CCA805DB-13A0-C94F-9D9D-4DE93F84D174}" id="{DDA2B24B-C4A7-824E-A094-9EFDEC0A68D5}">
    <text>Uwaga, rozliczyć nadpłatę!</text>
  </threadedComment>
  <threadedComment ref="AN152" dT="2024-08-26T13:02:15.80" personId="{CCA805DB-13A0-C94F-9D9D-4DE93F84D174}" id="{99E64F12-3AA4-C144-8210-97D8CFF4F7A8}">
    <text>Od grudnia 1098,75</text>
  </threadedComment>
  <threadedComment ref="AT154" dT="2024-11-28T14:45:57.78" personId="{CCA805DB-13A0-C94F-9D9D-4DE93F84D174}" id="{CF6BAF3E-0964-6349-ACD5-8BEE9A235C1A}">
    <text>Klient złożył wypowiedzenie w lutym, ostatnia fv w maju</text>
  </threadedComment>
  <threadedComment ref="Q155" dT="2023-01-04T12:18:34.47" personId="{155AE5DD-003B-8747-9D6A-B5FF6FB2392B}" id="{2B716A2B-8BB4-4246-B4D7-16777F968461}">
    <text>nowy user od 5.12.2022</text>
  </threadedComment>
  <threadedComment ref="AT155" dT="2025-02-12T15:54:44.37" personId="{CCA805DB-13A0-C94F-9D9D-4DE93F84D174}" id="{50E32657-8226-3744-A06C-48662A273979}">
    <text xml:space="preserve">Wypowiedzenie złożone 12.02
</text>
  </threadedComment>
  <threadedComment ref="AI156" dT="2024-07-29T08:29:02.90" personId="{CCA805DB-13A0-C94F-9D9D-4DE93F84D174}" id="{9FAD4E5A-173C-674F-9116-352F307E3EDB}">
    <text>ANEKS zmiana stawki na 1100 i fakturowanie na początku msc (z góry)</text>
  </threadedComment>
  <threadedComment ref="AQ157" dT="2025-02-20T10:21:22.22" personId="{CCA805DB-13A0-C94F-9D9D-4DE93F84D174}" id="{9C87AD74-BD10-AA4F-9C8F-84FD779C1AD1}">
    <text xml:space="preserve">Zmiana abonamentu i płatność z góry od 01.03 </text>
  </threadedComment>
  <threadedComment ref="AU157" dT="2025-04-07T11:00:44.18" personId="{CCA805DB-13A0-C94F-9D9D-4DE93F84D174}" id="{FF6C7D65-ABA8-7F4A-8F09-52678923A972}">
    <text>Złożone wypowiedzenie w marcu</text>
  </threadedComment>
  <threadedComment ref="Z159" dT="2023-11-23T09:23:14.94" personId="{CCA805DB-13A0-C94F-9D9D-4DE93F84D174}" id="{A1A331F3-1529-B74B-A5B7-3F0BAF8E97A3}">
    <text xml:space="preserve">ZAM-233 dodatkowy login od 23.10
</text>
  </threadedComment>
  <threadedComment ref="AA159" dT="2023-12-05T08:03:35.52" personId="{155AE5DD-003B-8747-9D6A-B5FF6FB2392B}" id="{00DAB187-1561-3545-BC2F-88945DAE9097}">
    <text>ZAM-259 dodatkowe 3 loginy</text>
  </threadedComment>
  <threadedComment ref="AB159" dT="2023-12-22T13:17:40.55" personId="{CCA805DB-13A0-C94F-9D9D-4DE93F84D174}" id="{6B9598A3-D514-574D-86C2-2C1D914C1866}">
    <text>ZAM-270 DODATKOWY LOGIN OD 1.12</text>
  </threadedComment>
  <threadedComment ref="AB159" dT="2023-12-22T13:19:22.76" personId="{CCA805DB-13A0-C94F-9D9D-4DE93F84D174}" id="{F9AADAF8-E28A-A54F-85D8-DADFA6B761BA}" parentId="{6B9598A3-D514-574D-86C2-2C1D914C1866}">
    <text>ZAM-285 Dodatkowy login od 5.12</text>
  </threadedComment>
  <threadedComment ref="AC159" dT="2023-12-22T13:17:40.55" personId="{CCA805DB-13A0-C94F-9D9D-4DE93F84D174}" id="{3731BD4E-0E65-CE4D-BC3A-F49846A327CB}">
    <text>ZAM-270 DODATKOWY LOGIN OD 1.12</text>
  </threadedComment>
  <threadedComment ref="AC159" dT="2023-12-22T13:19:22.76" personId="{CCA805DB-13A0-C94F-9D9D-4DE93F84D174}" id="{CA955ED3-AE76-D74F-96C4-40614A7DD090}" parentId="{3731BD4E-0E65-CE4D-BC3A-F49846A327CB}">
    <text>ZAM-285 Dodatkowy login od 5.12</text>
  </threadedComment>
  <threadedComment ref="AD159" dT="2024-02-20T13:45:32.20" personId="{CCA805DB-13A0-C94F-9D9D-4DE93F84D174}" id="{403E9149-8469-F04A-B82D-907C78902F25}">
    <text>Dodać nowe funkcjonalności</text>
  </threadedComment>
  <threadedComment ref="AQ159" dT="2025-03-24T12:56:54.84" personId="{CCA805DB-13A0-C94F-9D9D-4DE93F84D174}" id="{1E487052-F29C-494D-B69B-0B440D9D5849}">
    <text>Zmiana abonamentu bez aneksu - jest zgoda mailowa na podwyżkę (Iza)</text>
  </threadedComment>
  <threadedComment ref="AW159" dT="2025-06-03T07:24:00.40" personId="{CCA805DB-13A0-C94F-9D9D-4DE93F84D174}" id="{3B96EDA4-51CE-F140-9D7A-9CCC98FE751A}">
    <text>wypowiedzenie złożone w maju</text>
  </threadedComment>
  <threadedComment ref="AW160" dT="2025-05-30T13:12:49.89" personId="{CCA805DB-13A0-C94F-9D9D-4DE93F84D174}" id="{6E355EED-485B-6746-9259-9337B49DF57E}">
    <text xml:space="preserve">Wypowiedzenie złożone w maju
</text>
  </threadedComment>
  <threadedComment ref="S161" dT="2023-03-03T13:22:42.73" personId="{9E47FCA0-5032-E44D-92CE-B996C84DAC89}" id="{F4F0384E-B6FB-6046-8C18-A5CDF903B980}">
    <text>Rezygnacja z teledmska</text>
  </threadedComment>
  <threadedComment ref="AW161" dT="2025-08-13T12:52:54.16" personId="{CCA805DB-13A0-C94F-9D9D-4DE93F84D174}" id="{B57D9576-8743-1746-8F3A-848B798240E1}">
    <text>Ostatnia fv sierpień</text>
  </threadedComment>
  <threadedComment ref="W162" dT="2023-07-27T11:49:50.67" personId="{155AE5DD-003B-8747-9D6A-B5FF6FB2392B}" id="{25DCC340-7340-E64B-B66B-B1C10219A1C2}">
    <text>Dodatkowy login Grzegorz Grądkowski 159-49(darmowe konto managera przy wdrożeniu)=110</text>
  </threadedComment>
  <threadedComment ref="AD162" dT="2024-02-08T15:23:40.51" personId="{CCA805DB-13A0-C94F-9D9D-4DE93F84D174}" id="{9729F480-0CE0-9648-848E-19559888B308}">
    <text>ZAM-322</text>
  </threadedComment>
  <threadedComment ref="AE162" dT="2024-02-08T15:23:40.51" personId="{CCA805DB-13A0-C94F-9D9D-4DE93F84D174}" id="{F940E794-DB9A-9443-989A-B71BD4CF6F68}">
    <text>ZAM-322</text>
  </threadedComment>
  <threadedComment ref="AQ162" dT="2025-02-20T10:21:58.57" personId="{CCA805DB-13A0-C94F-9D9D-4DE93F84D174}" id="{1B9A2DCC-988A-D643-881A-75CD978992DC}">
    <text xml:space="preserve">Zmiana abonamentu i płatność z góry od 01.03 </text>
  </threadedComment>
  <threadedComment ref="AX163" dT="2025-07-15T13:33:41.73" personId="{CCA805DB-13A0-C94F-9D9D-4DE93F84D174}" id="{3EDC6814-F82C-0E4A-9F2C-5D51B6D6A7CF}">
    <text>Ostatnia fv we wrześniu</text>
  </threadedComment>
  <threadedComment ref="C169" dT="2024-11-04T10:43:36.52" personId="{CCA805DB-13A0-C94F-9D9D-4DE93F84D174}" id="{87050FEE-3B7D-EE4A-8C4F-EBC2E650C4B0}">
    <text>Ostatnia fv w styczniu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79C8-A7DE-B94E-AFC3-A27784646A8B}">
  <dimension ref="A1:AZ170"/>
  <sheetViews>
    <sheetView tabSelected="1" zoomScale="97" zoomScaleNormal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18" sqref="D18"/>
    </sheetView>
  </sheetViews>
  <sheetFormatPr defaultColWidth="11" defaultRowHeight="15.5" x14ac:dyDescent="0.35"/>
  <cols>
    <col min="1" max="1" width="15" style="1" bestFit="1" customWidth="1"/>
    <col min="2" max="2" width="11.58203125" style="1" customWidth="1"/>
    <col min="3" max="4" width="32.08203125" style="1" customWidth="1"/>
    <col min="5" max="5" width="49.08203125" style="1" bestFit="1" customWidth="1"/>
    <col min="6" max="18" width="11" style="1"/>
    <col min="19" max="19" width="10.58203125" style="1" customWidth="1"/>
    <col min="20" max="20" width="11" style="1"/>
    <col min="21" max="21" width="11" style="1" customWidth="1"/>
    <col min="22" max="33" width="11" style="1"/>
    <col min="34" max="34" width="14.58203125" style="1" bestFit="1" customWidth="1"/>
    <col min="35" max="16384" width="11" style="1"/>
  </cols>
  <sheetData>
    <row r="1" spans="1:52" ht="18.75" customHeight="1" x14ac:dyDescent="0.35">
      <c r="C1" s="2"/>
      <c r="D1" s="2"/>
      <c r="E1" s="2">
        <v>44592</v>
      </c>
      <c r="F1" s="2">
        <v>44620</v>
      </c>
      <c r="G1" s="2">
        <v>44651</v>
      </c>
      <c r="H1" s="2">
        <v>44681</v>
      </c>
      <c r="I1" s="2">
        <v>44712</v>
      </c>
      <c r="J1" s="2">
        <v>44742</v>
      </c>
      <c r="K1" s="2">
        <v>44773</v>
      </c>
      <c r="L1" s="2">
        <v>44804</v>
      </c>
      <c r="M1" s="2">
        <v>44834</v>
      </c>
      <c r="N1" s="2">
        <v>44865</v>
      </c>
      <c r="O1" s="2">
        <v>44895</v>
      </c>
      <c r="P1" s="2">
        <v>44926</v>
      </c>
      <c r="Q1" s="3">
        <v>44957</v>
      </c>
      <c r="R1" s="2">
        <v>44985</v>
      </c>
      <c r="S1" s="2">
        <v>45016</v>
      </c>
      <c r="T1" s="2">
        <v>45046</v>
      </c>
      <c r="U1" s="2">
        <v>45077</v>
      </c>
      <c r="V1" s="2">
        <v>45107</v>
      </c>
      <c r="W1" s="2">
        <v>45138</v>
      </c>
      <c r="X1" s="2">
        <v>45169</v>
      </c>
      <c r="Y1" s="2">
        <v>45199</v>
      </c>
      <c r="Z1" s="2">
        <v>45230</v>
      </c>
      <c r="AA1" s="2">
        <v>45260</v>
      </c>
      <c r="AB1" s="2">
        <v>45291</v>
      </c>
      <c r="AC1" s="2">
        <v>45322</v>
      </c>
      <c r="AD1" s="2">
        <v>45351</v>
      </c>
      <c r="AE1" s="2">
        <v>45382</v>
      </c>
      <c r="AF1" s="2">
        <v>45412</v>
      </c>
      <c r="AG1" s="2">
        <v>45443</v>
      </c>
      <c r="AH1" s="2">
        <v>45473</v>
      </c>
      <c r="AI1" s="2">
        <v>45504</v>
      </c>
      <c r="AJ1" s="2">
        <v>45535</v>
      </c>
      <c r="AK1" s="2">
        <v>45565</v>
      </c>
      <c r="AL1" s="2">
        <v>45596</v>
      </c>
      <c r="AM1" s="2">
        <v>45626</v>
      </c>
      <c r="AN1" s="2">
        <v>45657</v>
      </c>
      <c r="AO1" s="2">
        <v>45658</v>
      </c>
      <c r="AP1" s="2">
        <v>45689</v>
      </c>
      <c r="AQ1" s="2">
        <v>45717</v>
      </c>
      <c r="AR1" s="2">
        <v>45748</v>
      </c>
      <c r="AS1" s="4">
        <v>45778</v>
      </c>
      <c r="AT1" s="4">
        <v>45809</v>
      </c>
      <c r="AU1" s="4">
        <v>45839</v>
      </c>
      <c r="AV1" s="4">
        <v>45870</v>
      </c>
      <c r="AW1" s="4">
        <v>45901</v>
      </c>
      <c r="AX1" s="4">
        <v>45931</v>
      </c>
      <c r="AY1" s="4">
        <v>45962</v>
      </c>
      <c r="AZ1" s="4">
        <v>45992</v>
      </c>
    </row>
    <row r="2" spans="1:52" ht="18.75" customHeight="1" x14ac:dyDescent="0.35">
      <c r="A2" s="1" t="s">
        <v>0</v>
      </c>
      <c r="B2" s="1" t="s">
        <v>1</v>
      </c>
      <c r="C2" s="2" t="s">
        <v>2</v>
      </c>
      <c r="D2" s="2"/>
      <c r="E2" s="5">
        <f t="shared" ref="E2:AZ2" si="0">SUM(E4:E324)</f>
        <v>109588.87682664569</v>
      </c>
      <c r="F2" s="5">
        <f t="shared" si="0"/>
        <v>110562.22670151862</v>
      </c>
      <c r="G2" s="5">
        <f t="shared" si="0"/>
        <v>104531.39075006559</v>
      </c>
      <c r="H2" s="5">
        <f t="shared" si="0"/>
        <v>104610.79967479677</v>
      </c>
      <c r="I2" s="5">
        <f t="shared" si="0"/>
        <v>102910.16849200109</v>
      </c>
      <c r="J2" s="5">
        <f t="shared" si="0"/>
        <v>103332.48951219516</v>
      </c>
      <c r="K2" s="5">
        <f t="shared" si="0"/>
        <v>102309.21204038817</v>
      </c>
      <c r="L2" s="5">
        <f t="shared" si="0"/>
        <v>102314.48500131133</v>
      </c>
      <c r="M2" s="5">
        <f t="shared" si="0"/>
        <v>102244.11365853662</v>
      </c>
      <c r="N2" s="5">
        <f t="shared" si="0"/>
        <v>101250.34645423552</v>
      </c>
      <c r="O2" s="5">
        <f t="shared" si="0"/>
        <v>102974.86650668766</v>
      </c>
      <c r="P2" s="5">
        <f t="shared" si="0"/>
        <v>106434.6003776554</v>
      </c>
      <c r="Q2" s="5">
        <f t="shared" si="0"/>
        <v>106189.12161552586</v>
      </c>
      <c r="R2" s="5">
        <f t="shared" si="0"/>
        <v>114431.12287398371</v>
      </c>
      <c r="S2" s="5">
        <f t="shared" si="0"/>
        <v>108306.72513204825</v>
      </c>
      <c r="T2" s="5">
        <f t="shared" si="0"/>
        <v>115126.44997075794</v>
      </c>
      <c r="U2" s="5">
        <f t="shared" si="0"/>
        <v>114141.36298688696</v>
      </c>
      <c r="V2" s="5">
        <f t="shared" si="0"/>
        <v>109301.22763414634</v>
      </c>
      <c r="W2" s="5">
        <f t="shared" si="0"/>
        <v>98720.208607133492</v>
      </c>
      <c r="X2" s="5">
        <f t="shared" si="0"/>
        <v>97616.098284552834</v>
      </c>
      <c r="Y2" s="5">
        <f t="shared" si="0"/>
        <v>94536.831617886186</v>
      </c>
      <c r="Z2" s="5">
        <f t="shared" si="0"/>
        <v>85799.441187778662</v>
      </c>
      <c r="AA2" s="5">
        <f t="shared" si="0"/>
        <v>79118.933123262541</v>
      </c>
      <c r="AB2" s="5">
        <f t="shared" si="0"/>
        <v>79738.689445843178</v>
      </c>
      <c r="AC2" s="5">
        <f t="shared" si="0"/>
        <v>76353.294284552845</v>
      </c>
      <c r="AD2" s="5">
        <f t="shared" si="0"/>
        <v>75015.016008690785</v>
      </c>
      <c r="AE2" s="5">
        <f t="shared" si="0"/>
        <v>70522.054284552854</v>
      </c>
      <c r="AF2" s="5">
        <f t="shared" si="0"/>
        <v>66767.859284552862</v>
      </c>
      <c r="AG2" s="5">
        <f t="shared" si="0"/>
        <v>64239.65928455285</v>
      </c>
      <c r="AH2" s="5">
        <f t="shared" si="0"/>
        <v>62382.605951219521</v>
      </c>
      <c r="AI2" s="5">
        <f t="shared" si="0"/>
        <v>59945.036058746395</v>
      </c>
      <c r="AJ2" s="5">
        <f t="shared" si="0"/>
        <v>60454.939284552849</v>
      </c>
      <c r="AK2" s="5">
        <f t="shared" si="0"/>
        <v>45405.372617886183</v>
      </c>
      <c r="AL2" s="5">
        <f t="shared" si="0"/>
        <v>43867.439284552849</v>
      </c>
      <c r="AM2" s="5">
        <f t="shared" si="0"/>
        <v>40664.244284552842</v>
      </c>
      <c r="AN2" s="5">
        <f t="shared" si="0"/>
        <v>40930.994284552842</v>
      </c>
      <c r="AO2" s="5">
        <f t="shared" si="0"/>
        <v>37049.194284552854</v>
      </c>
      <c r="AP2" s="5">
        <f t="shared" si="0"/>
        <v>35377.194284552839</v>
      </c>
      <c r="AQ2" s="5">
        <f t="shared" si="0"/>
        <v>31232.984284552844</v>
      </c>
      <c r="AR2" s="5">
        <f t="shared" si="0"/>
        <v>17537.126479674796</v>
      </c>
      <c r="AS2" s="6">
        <f t="shared" si="0"/>
        <v>15183.626479674796</v>
      </c>
      <c r="AT2" s="6">
        <f t="shared" si="0"/>
        <v>9395.2439796747967</v>
      </c>
      <c r="AU2" s="6">
        <f t="shared" si="0"/>
        <v>6617.807479674796</v>
      </c>
      <c r="AV2" s="6">
        <f t="shared" si="0"/>
        <v>6617.807479674796</v>
      </c>
      <c r="AW2" s="6">
        <f t="shared" si="0"/>
        <v>2054.2574796747967</v>
      </c>
      <c r="AX2" s="6">
        <f t="shared" si="0"/>
        <v>0</v>
      </c>
      <c r="AY2" s="6">
        <f t="shared" si="0"/>
        <v>0</v>
      </c>
      <c r="AZ2" s="6">
        <f t="shared" si="0"/>
        <v>0</v>
      </c>
    </row>
    <row r="3" spans="1:52" ht="18.75" customHeight="1" x14ac:dyDescent="0.45">
      <c r="A3" s="7"/>
      <c r="B3" s="7"/>
      <c r="C3" s="8"/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9">
        <f t="shared" ref="AC3:AP3" si="1">COUNT(AC4:AC171)</f>
        <v>60</v>
      </c>
      <c r="AD3" s="9">
        <f t="shared" si="1"/>
        <v>59</v>
      </c>
      <c r="AE3" s="9">
        <f t="shared" si="1"/>
        <v>55</v>
      </c>
      <c r="AF3" s="9">
        <f t="shared" si="1"/>
        <v>52</v>
      </c>
      <c r="AG3" s="9">
        <f t="shared" si="1"/>
        <v>50</v>
      </c>
      <c r="AH3" s="9">
        <f t="shared" si="1"/>
        <v>48</v>
      </c>
      <c r="AI3" s="9">
        <f t="shared" si="1"/>
        <v>47</v>
      </c>
      <c r="AJ3" s="9">
        <f t="shared" si="1"/>
        <v>47</v>
      </c>
      <c r="AK3" s="9">
        <f t="shared" si="1"/>
        <v>40</v>
      </c>
      <c r="AL3" s="10">
        <f t="shared" si="1"/>
        <v>39</v>
      </c>
      <c r="AM3" s="10">
        <f t="shared" si="1"/>
        <v>35</v>
      </c>
      <c r="AN3" s="10">
        <f t="shared" si="1"/>
        <v>34</v>
      </c>
      <c r="AO3" s="10">
        <f t="shared" si="1"/>
        <v>29</v>
      </c>
      <c r="AP3" s="10">
        <f t="shared" si="1"/>
        <v>28</v>
      </c>
      <c r="AQ3" s="10">
        <f t="shared" ref="AQ3:AZ3" si="2">COUNT(AQ4:AQ206)</f>
        <v>24</v>
      </c>
      <c r="AR3" s="10">
        <f t="shared" si="2"/>
        <v>15</v>
      </c>
      <c r="AS3" s="10">
        <f t="shared" si="2"/>
        <v>13</v>
      </c>
      <c r="AT3" s="10">
        <f t="shared" si="2"/>
        <v>7</v>
      </c>
      <c r="AU3" s="10">
        <f t="shared" si="2"/>
        <v>5</v>
      </c>
      <c r="AV3" s="10">
        <f t="shared" si="2"/>
        <v>5</v>
      </c>
      <c r="AW3" s="10">
        <f t="shared" si="2"/>
        <v>2</v>
      </c>
      <c r="AX3" s="10">
        <f t="shared" si="2"/>
        <v>0</v>
      </c>
      <c r="AY3" s="10">
        <f t="shared" si="2"/>
        <v>0</v>
      </c>
      <c r="AZ3" s="10">
        <f t="shared" si="2"/>
        <v>0</v>
      </c>
    </row>
    <row r="4" spans="1:52" ht="18.75" customHeight="1" x14ac:dyDescent="0.45">
      <c r="A4" s="11">
        <v>5262380182</v>
      </c>
      <c r="B4" s="11"/>
      <c r="C4" s="12" t="s">
        <v>3</v>
      </c>
      <c r="D4" s="12"/>
      <c r="E4" s="13">
        <v>439.02</v>
      </c>
      <c r="F4" s="13">
        <v>439.02</v>
      </c>
      <c r="G4" s="13">
        <v>439.02</v>
      </c>
      <c r="H4" s="14" t="s">
        <v>4</v>
      </c>
      <c r="I4" s="15"/>
      <c r="J4" s="15"/>
      <c r="K4" s="15"/>
      <c r="Q4" s="16"/>
    </row>
    <row r="5" spans="1:52" ht="18.75" customHeight="1" x14ac:dyDescent="0.45">
      <c r="A5" s="11">
        <v>5251488680</v>
      </c>
      <c r="B5" s="11">
        <v>18</v>
      </c>
      <c r="C5" s="12" t="s">
        <v>5</v>
      </c>
      <c r="D5" s="12"/>
      <c r="E5" s="13">
        <v>950</v>
      </c>
      <c r="F5" s="13">
        <v>950</v>
      </c>
      <c r="G5" s="13">
        <v>950</v>
      </c>
      <c r="H5" s="13">
        <v>950</v>
      </c>
      <c r="I5" s="13">
        <v>950</v>
      </c>
      <c r="J5" s="13">
        <v>950</v>
      </c>
      <c r="K5" s="13">
        <v>950</v>
      </c>
      <c r="L5" s="13">
        <v>950</v>
      </c>
      <c r="M5" s="13">
        <v>950</v>
      </c>
      <c r="N5" s="17" t="s">
        <v>4</v>
      </c>
      <c r="O5" s="18"/>
      <c r="P5" s="18"/>
      <c r="Q5" s="16"/>
    </row>
    <row r="6" spans="1:52" ht="18.75" customHeight="1" x14ac:dyDescent="0.45">
      <c r="A6" s="11">
        <v>8982173923</v>
      </c>
      <c r="B6" s="11">
        <v>222</v>
      </c>
      <c r="C6" s="12" t="s">
        <v>6</v>
      </c>
      <c r="D6" s="12"/>
      <c r="E6" s="13">
        <v>1910</v>
      </c>
      <c r="F6" s="13">
        <v>1910</v>
      </c>
      <c r="G6" s="13">
        <v>1910</v>
      </c>
      <c r="H6" s="13">
        <v>1910</v>
      </c>
      <c r="I6" s="13">
        <v>1910</v>
      </c>
      <c r="J6" s="13">
        <v>1910</v>
      </c>
      <c r="K6" s="14" t="s">
        <v>4</v>
      </c>
      <c r="Q6" s="16"/>
    </row>
    <row r="7" spans="1:52" ht="18.75" customHeight="1" x14ac:dyDescent="0.45">
      <c r="A7" s="11">
        <v>5840203541</v>
      </c>
      <c r="B7" s="11"/>
      <c r="C7" s="12" t="s">
        <v>7</v>
      </c>
      <c r="D7" s="12"/>
      <c r="E7" s="19" t="s">
        <v>4</v>
      </c>
      <c r="Q7" s="16"/>
    </row>
    <row r="8" spans="1:52" ht="18.75" customHeight="1" x14ac:dyDescent="0.45">
      <c r="A8" s="11">
        <v>7792425870</v>
      </c>
      <c r="B8" s="11">
        <v>333</v>
      </c>
      <c r="C8" s="12" t="s">
        <v>8</v>
      </c>
      <c r="D8" s="12"/>
      <c r="E8" s="13">
        <v>495</v>
      </c>
      <c r="F8" s="13">
        <v>495</v>
      </c>
      <c r="G8" s="13">
        <v>495</v>
      </c>
      <c r="H8" s="13">
        <v>495</v>
      </c>
      <c r="I8" s="13">
        <v>495</v>
      </c>
      <c r="J8" s="20">
        <v>495</v>
      </c>
      <c r="K8" s="20">
        <v>495</v>
      </c>
      <c r="L8" s="13">
        <v>495</v>
      </c>
      <c r="M8" s="13">
        <v>495</v>
      </c>
      <c r="N8" s="13">
        <v>495</v>
      </c>
      <c r="O8" s="13">
        <v>495</v>
      </c>
      <c r="P8" s="13">
        <v>495</v>
      </c>
      <c r="Q8" s="21" t="s">
        <v>4</v>
      </c>
    </row>
    <row r="9" spans="1:52" ht="18.75" customHeight="1" x14ac:dyDescent="0.45">
      <c r="A9" s="7"/>
      <c r="B9" s="11">
        <v>355</v>
      </c>
      <c r="C9" s="12" t="s">
        <v>9</v>
      </c>
      <c r="D9" s="12"/>
      <c r="E9" s="22">
        <v>0</v>
      </c>
      <c r="F9" s="22">
        <v>0</v>
      </c>
      <c r="G9" s="19">
        <v>0</v>
      </c>
      <c r="H9" s="13">
        <v>1370</v>
      </c>
      <c r="I9" s="13">
        <v>1370</v>
      </c>
      <c r="J9" s="13">
        <v>1370</v>
      </c>
      <c r="K9" s="17" t="s">
        <v>4</v>
      </c>
      <c r="Q9" s="16"/>
    </row>
    <row r="10" spans="1:52" ht="18.75" customHeight="1" x14ac:dyDescent="0.45">
      <c r="A10" s="11">
        <v>8992306076</v>
      </c>
      <c r="B10" s="11">
        <v>368</v>
      </c>
      <c r="C10" s="12" t="s">
        <v>10</v>
      </c>
      <c r="D10" s="12"/>
      <c r="E10" s="13">
        <v>1344</v>
      </c>
      <c r="F10" s="13">
        <v>1344</v>
      </c>
      <c r="G10" s="13">
        <v>1344</v>
      </c>
      <c r="H10" s="13">
        <v>1344</v>
      </c>
      <c r="I10" s="13">
        <v>1344</v>
      </c>
      <c r="J10" s="13">
        <v>1344</v>
      </c>
      <c r="K10" s="13">
        <v>1344</v>
      </c>
      <c r="L10" s="13">
        <v>1344</v>
      </c>
      <c r="M10" s="17" t="s">
        <v>4</v>
      </c>
      <c r="N10" s="18"/>
      <c r="O10" s="18"/>
      <c r="P10" s="18"/>
      <c r="Q10" s="16"/>
    </row>
    <row r="11" spans="1:52" ht="18.75" customHeight="1" x14ac:dyDescent="0.45">
      <c r="A11" s="11">
        <v>7010343001</v>
      </c>
      <c r="B11" s="11"/>
      <c r="C11" s="12" t="s">
        <v>11</v>
      </c>
      <c r="D11" s="12"/>
      <c r="E11" s="13">
        <v>2154.5</v>
      </c>
      <c r="F11" s="13">
        <v>2154.5</v>
      </c>
      <c r="G11" s="13">
        <v>2154.5</v>
      </c>
      <c r="H11" s="13">
        <v>2154.5</v>
      </c>
      <c r="I11" s="13">
        <v>2154.5</v>
      </c>
      <c r="J11" s="20">
        <v>2154.5</v>
      </c>
      <c r="K11" s="20">
        <v>2154.5</v>
      </c>
      <c r="L11" s="13">
        <v>2154.5</v>
      </c>
      <c r="M11" s="13">
        <v>2154.5</v>
      </c>
      <c r="N11" s="17" t="s">
        <v>4</v>
      </c>
      <c r="O11" s="18"/>
      <c r="P11" s="18"/>
      <c r="Q11" s="16"/>
    </row>
    <row r="12" spans="1:52" ht="18.75" customHeight="1" x14ac:dyDescent="0.45">
      <c r="A12" s="11">
        <v>5213691717</v>
      </c>
      <c r="B12" s="11"/>
      <c r="C12" s="12" t="s">
        <v>12</v>
      </c>
      <c r="D12" s="12"/>
      <c r="E12" s="13">
        <f>1382.11+159</f>
        <v>1541.11</v>
      </c>
      <c r="F12" s="13">
        <f>1382.11+159</f>
        <v>1541.11</v>
      </c>
      <c r="G12" s="17" t="s">
        <v>4</v>
      </c>
      <c r="Q12" s="16"/>
    </row>
    <row r="13" spans="1:52" ht="18.75" customHeight="1" x14ac:dyDescent="0.45">
      <c r="A13" s="11">
        <v>6482796979</v>
      </c>
      <c r="B13" s="11"/>
      <c r="C13" s="12" t="s">
        <v>13</v>
      </c>
      <c r="D13" s="12"/>
      <c r="E13" s="13">
        <v>510</v>
      </c>
      <c r="F13" s="13">
        <v>510</v>
      </c>
      <c r="G13" s="13">
        <v>510</v>
      </c>
      <c r="H13" s="13">
        <v>510</v>
      </c>
      <c r="I13" s="13">
        <v>510</v>
      </c>
      <c r="J13" s="20">
        <v>510</v>
      </c>
      <c r="K13" s="17" t="s">
        <v>4</v>
      </c>
      <c r="Q13" s="16"/>
    </row>
    <row r="14" spans="1:52" ht="18.75" customHeight="1" x14ac:dyDescent="0.45">
      <c r="A14" s="11">
        <v>5422964757</v>
      </c>
      <c r="B14" s="11"/>
      <c r="C14" s="12" t="s">
        <v>14</v>
      </c>
      <c r="D14" s="12"/>
      <c r="E14" s="13">
        <v>711.2</v>
      </c>
      <c r="F14" s="13">
        <v>711.2</v>
      </c>
      <c r="G14" s="17" t="s">
        <v>4</v>
      </c>
      <c r="Q14" s="16"/>
    </row>
    <row r="15" spans="1:52" ht="18.75" customHeight="1" x14ac:dyDescent="0.45">
      <c r="A15" s="7"/>
      <c r="B15" s="7">
        <v>538</v>
      </c>
      <c r="C15" s="12" t="s">
        <v>15</v>
      </c>
      <c r="D15" s="12"/>
      <c r="E15" s="13">
        <v>609.75</v>
      </c>
      <c r="F15" s="13">
        <v>609.75</v>
      </c>
      <c r="G15" s="13">
        <v>609.75</v>
      </c>
      <c r="H15" s="13">
        <v>609.75</v>
      </c>
      <c r="I15" s="13">
        <v>609.75</v>
      </c>
      <c r="J15" s="17" t="s">
        <v>4</v>
      </c>
      <c r="Q15" s="16"/>
    </row>
    <row r="16" spans="1:52" ht="18.75" customHeight="1" x14ac:dyDescent="0.45">
      <c r="A16" s="7"/>
      <c r="B16" s="7"/>
      <c r="C16" s="12" t="s">
        <v>16</v>
      </c>
      <c r="D16" s="12"/>
      <c r="E16" s="13">
        <v>540</v>
      </c>
      <c r="F16" s="14" t="s">
        <v>4</v>
      </c>
      <c r="Q16" s="16"/>
    </row>
    <row r="17" spans="1:17" ht="18.75" customHeight="1" x14ac:dyDescent="0.45">
      <c r="A17" s="11">
        <v>5213912615</v>
      </c>
      <c r="B17" s="11"/>
      <c r="C17" s="12" t="s">
        <v>17</v>
      </c>
      <c r="D17" s="12"/>
      <c r="E17" s="13">
        <v>407</v>
      </c>
      <c r="F17" s="13">
        <v>957</v>
      </c>
      <c r="G17" s="13">
        <v>957</v>
      </c>
      <c r="H17" s="13">
        <v>957</v>
      </c>
      <c r="I17" s="13">
        <v>957</v>
      </c>
      <c r="J17" s="20">
        <v>957</v>
      </c>
      <c r="K17" s="20">
        <v>0</v>
      </c>
      <c r="L17" s="17" t="s">
        <v>4</v>
      </c>
      <c r="M17" s="18"/>
      <c r="N17" s="18"/>
      <c r="O17" s="18"/>
      <c r="P17" s="18"/>
      <c r="Q17" s="16"/>
    </row>
    <row r="18" spans="1:17" ht="18.75" customHeight="1" x14ac:dyDescent="0.45">
      <c r="A18" s="11">
        <v>6922264302</v>
      </c>
      <c r="B18" s="11"/>
      <c r="C18" s="12" t="s">
        <v>18</v>
      </c>
      <c r="D18" s="12"/>
      <c r="E18" s="13">
        <v>1936</v>
      </c>
      <c r="F18" s="14" t="s">
        <v>4</v>
      </c>
      <c r="P18" s="18"/>
      <c r="Q18" s="16"/>
    </row>
    <row r="19" spans="1:17" ht="15.75" customHeight="1" x14ac:dyDescent="0.45">
      <c r="A19" s="7">
        <v>5671583830</v>
      </c>
      <c r="B19" s="7"/>
      <c r="C19" s="23" t="s">
        <v>19</v>
      </c>
      <c r="D19" s="23"/>
      <c r="E19" s="13">
        <v>813</v>
      </c>
      <c r="F19" s="14" t="s">
        <v>4</v>
      </c>
      <c r="Q19" s="16"/>
    </row>
    <row r="20" spans="1:17" ht="15.75" customHeight="1" x14ac:dyDescent="0.45">
      <c r="A20" s="11">
        <v>7773358902</v>
      </c>
      <c r="B20" s="11"/>
      <c r="C20" s="23" t="s">
        <v>20</v>
      </c>
      <c r="D20" s="23"/>
      <c r="E20" s="13">
        <v>900</v>
      </c>
      <c r="F20" s="13">
        <v>900</v>
      </c>
      <c r="G20" s="14" t="s">
        <v>4</v>
      </c>
      <c r="Q20" s="16"/>
    </row>
    <row r="21" spans="1:17" ht="15.75" customHeight="1" x14ac:dyDescent="0.45">
      <c r="A21" s="11">
        <v>7921300143</v>
      </c>
      <c r="B21" s="11"/>
      <c r="C21" s="23" t="s">
        <v>21</v>
      </c>
      <c r="D21" s="23"/>
      <c r="E21" s="13">
        <v>1010.4</v>
      </c>
      <c r="F21" s="14" t="s">
        <v>4</v>
      </c>
      <c r="Q21" s="16"/>
    </row>
    <row r="22" spans="1:17" ht="15.75" customHeight="1" x14ac:dyDescent="0.45">
      <c r="A22" s="11">
        <v>5223096548</v>
      </c>
      <c r="B22" s="11"/>
      <c r="C22" s="23" t="s">
        <v>22</v>
      </c>
      <c r="D22" s="23"/>
      <c r="E22" s="13">
        <v>1463.41</v>
      </c>
      <c r="F22" s="13">
        <v>1463.41</v>
      </c>
      <c r="G22" s="13">
        <v>1463.41</v>
      </c>
      <c r="H22" s="13">
        <v>1463.41</v>
      </c>
      <c r="I22" s="13">
        <v>1463.41</v>
      </c>
      <c r="J22" s="20">
        <v>1463.41</v>
      </c>
      <c r="K22" s="20">
        <v>1463.41</v>
      </c>
      <c r="L22" s="20">
        <v>1463.41</v>
      </c>
      <c r="M22" s="17" t="s">
        <v>4</v>
      </c>
      <c r="N22" s="18"/>
      <c r="O22" s="18"/>
      <c r="P22" s="18"/>
      <c r="Q22" s="16"/>
    </row>
    <row r="23" spans="1:17" ht="15.75" customHeight="1" x14ac:dyDescent="0.45">
      <c r="A23" s="11">
        <v>9512515321</v>
      </c>
      <c r="B23" s="7">
        <v>663</v>
      </c>
      <c r="C23" s="23" t="s">
        <v>23</v>
      </c>
      <c r="D23" s="23"/>
      <c r="E23" s="13">
        <v>1575</v>
      </c>
      <c r="F23" s="13">
        <v>1575</v>
      </c>
      <c r="G23" s="13">
        <v>1575</v>
      </c>
      <c r="H23" s="13">
        <v>1575</v>
      </c>
      <c r="I23" s="14" t="s">
        <v>4</v>
      </c>
      <c r="Q23" s="16"/>
    </row>
    <row r="24" spans="1:17" ht="15.75" customHeight="1" x14ac:dyDescent="0.45">
      <c r="A24" s="11">
        <v>8762458977</v>
      </c>
      <c r="B24" s="11"/>
      <c r="C24" s="23" t="s">
        <v>24</v>
      </c>
      <c r="D24" s="23"/>
      <c r="E24" s="13">
        <v>850</v>
      </c>
      <c r="F24" s="13">
        <v>850</v>
      </c>
      <c r="G24" s="14" t="s">
        <v>4</v>
      </c>
      <c r="Q24" s="16"/>
    </row>
    <row r="25" spans="1:17" ht="15.75" customHeight="1" x14ac:dyDescent="0.45">
      <c r="A25" s="11">
        <v>8811376536</v>
      </c>
      <c r="B25" s="7">
        <v>652</v>
      </c>
      <c r="C25" s="7" t="s">
        <v>25</v>
      </c>
      <c r="D25" s="7"/>
      <c r="E25" s="13">
        <v>817.2</v>
      </c>
      <c r="F25" s="13">
        <v>817.2</v>
      </c>
      <c r="G25" s="14" t="s">
        <v>4</v>
      </c>
      <c r="Q25" s="16"/>
    </row>
    <row r="26" spans="1:17" ht="15.75" customHeight="1" x14ac:dyDescent="0.45">
      <c r="A26" s="11">
        <v>5213854438</v>
      </c>
      <c r="B26" s="11"/>
      <c r="C26" s="7" t="s">
        <v>26</v>
      </c>
      <c r="D26" s="7"/>
      <c r="E26" s="13">
        <v>298.10000000000002</v>
      </c>
      <c r="F26" s="13">
        <v>298.10000000000002</v>
      </c>
      <c r="G26" s="13">
        <v>298.10000000000002</v>
      </c>
      <c r="H26" s="22">
        <v>0</v>
      </c>
      <c r="I26" s="19" t="s">
        <v>4</v>
      </c>
      <c r="Q26" s="16"/>
    </row>
    <row r="27" spans="1:17" ht="15.75" customHeight="1" x14ac:dyDescent="0.45">
      <c r="A27" s="11">
        <v>6772444728</v>
      </c>
      <c r="B27" s="7">
        <v>671</v>
      </c>
      <c r="C27" s="7" t="s">
        <v>27</v>
      </c>
      <c r="D27" s="7"/>
      <c r="E27" s="13">
        <v>596.20000000000005</v>
      </c>
      <c r="F27" s="13">
        <v>596.20000000000005</v>
      </c>
      <c r="G27" s="13">
        <v>0</v>
      </c>
      <c r="H27" s="22">
        <v>0</v>
      </c>
      <c r="I27" s="19" t="s">
        <v>4</v>
      </c>
      <c r="Q27" s="16"/>
    </row>
    <row r="28" spans="1:17" ht="15.75" customHeight="1" x14ac:dyDescent="0.45">
      <c r="A28" s="11">
        <v>7272771778</v>
      </c>
      <c r="B28" s="11"/>
      <c r="C28" s="7" t="s">
        <v>28</v>
      </c>
      <c r="D28" s="7"/>
      <c r="E28" s="13">
        <v>908</v>
      </c>
      <c r="F28" s="13">
        <v>908</v>
      </c>
      <c r="G28" s="13">
        <v>908</v>
      </c>
      <c r="H28" s="13">
        <v>908</v>
      </c>
      <c r="I28" s="17" t="s">
        <v>4</v>
      </c>
      <c r="Q28" s="16"/>
    </row>
    <row r="29" spans="1:17" ht="15.75" customHeight="1" x14ac:dyDescent="0.45">
      <c r="A29" s="11">
        <v>5252808164</v>
      </c>
      <c r="B29" s="11"/>
      <c r="C29" s="7" t="s">
        <v>29</v>
      </c>
      <c r="D29" s="7"/>
      <c r="E29" s="13">
        <f>908+159+2*159</f>
        <v>1385</v>
      </c>
      <c r="F29" s="13">
        <f>908+159+2*159+159</f>
        <v>1544</v>
      </c>
      <c r="G29" s="13">
        <f>908+159+2*159+159</f>
        <v>1544</v>
      </c>
      <c r="H29" s="13">
        <f>908+159+2*159+159</f>
        <v>1544</v>
      </c>
      <c r="I29" s="13">
        <f>908+159+2*159+159</f>
        <v>1544</v>
      </c>
      <c r="J29" s="20">
        <f>908+159+2*159+159</f>
        <v>1544</v>
      </c>
      <c r="K29" s="17" t="s">
        <v>4</v>
      </c>
      <c r="Q29" s="16"/>
    </row>
    <row r="30" spans="1:17" ht="15.75" customHeight="1" x14ac:dyDescent="0.45">
      <c r="A30" s="7"/>
      <c r="B30" s="7"/>
      <c r="C30" s="7" t="s">
        <v>30</v>
      </c>
      <c r="D30" s="7"/>
      <c r="E30" s="13">
        <v>750</v>
      </c>
      <c r="F30" s="13">
        <v>750</v>
      </c>
      <c r="G30" s="13">
        <v>750</v>
      </c>
      <c r="H30" s="13">
        <v>750</v>
      </c>
      <c r="I30" s="17" t="s">
        <v>4</v>
      </c>
      <c r="Q30" s="16"/>
    </row>
    <row r="31" spans="1:17" ht="15.75" customHeight="1" x14ac:dyDescent="0.45">
      <c r="A31" s="7"/>
      <c r="B31" s="7">
        <v>748</v>
      </c>
      <c r="C31" s="24" t="s">
        <v>31</v>
      </c>
      <c r="D31" s="24"/>
      <c r="E31" s="13">
        <f>7/31*F31+24/31*583</f>
        <v>714.41935483870964</v>
      </c>
      <c r="F31" s="13">
        <v>1165</v>
      </c>
      <c r="G31" s="17" t="s">
        <v>4</v>
      </c>
      <c r="Q31" s="16"/>
    </row>
    <row r="32" spans="1:17" ht="15.75" customHeight="1" x14ac:dyDescent="0.45">
      <c r="A32" s="11">
        <v>7121640630</v>
      </c>
      <c r="B32" s="11"/>
      <c r="C32" s="7" t="s">
        <v>32</v>
      </c>
      <c r="D32" s="7"/>
      <c r="E32" s="13">
        <v>1226</v>
      </c>
      <c r="F32" s="13">
        <v>1226</v>
      </c>
      <c r="G32" s="13">
        <v>1226</v>
      </c>
      <c r="H32" s="13">
        <v>1226</v>
      </c>
      <c r="I32" s="13">
        <v>1226</v>
      </c>
      <c r="J32" s="13">
        <v>1226</v>
      </c>
      <c r="K32" s="13">
        <v>1226</v>
      </c>
      <c r="L32" s="17" t="s">
        <v>4</v>
      </c>
      <c r="M32" s="18"/>
      <c r="N32" s="18"/>
      <c r="O32" s="18"/>
      <c r="P32" s="18"/>
      <c r="Q32" s="16"/>
    </row>
    <row r="33" spans="1:21" ht="15.75" customHeight="1" x14ac:dyDescent="0.45">
      <c r="A33" s="11">
        <v>8361832306</v>
      </c>
      <c r="B33" s="11"/>
      <c r="C33" s="7" t="s">
        <v>33</v>
      </c>
      <c r="D33" s="7"/>
      <c r="F33" s="13">
        <v>500</v>
      </c>
      <c r="G33" s="13">
        <v>500</v>
      </c>
      <c r="H33" s="13">
        <v>500</v>
      </c>
      <c r="I33" s="13">
        <v>908</v>
      </c>
      <c r="J33" s="20">
        <v>908</v>
      </c>
      <c r="K33" s="20">
        <v>908</v>
      </c>
      <c r="L33" s="20">
        <v>908</v>
      </c>
      <c r="M33" s="13">
        <v>908</v>
      </c>
      <c r="N33" s="17" t="s">
        <v>4</v>
      </c>
      <c r="O33" s="18"/>
      <c r="P33" s="18"/>
      <c r="Q33" s="16"/>
    </row>
    <row r="34" spans="1:21" ht="15.75" customHeight="1" x14ac:dyDescent="0.45">
      <c r="A34" s="11">
        <v>6791253691</v>
      </c>
      <c r="B34" s="7">
        <v>836</v>
      </c>
      <c r="C34" s="7" t="s">
        <v>34</v>
      </c>
      <c r="D34" s="7"/>
      <c r="K34" s="13">
        <v>1031.9000000000001</v>
      </c>
      <c r="L34" s="13">
        <v>1031.9000000000001</v>
      </c>
      <c r="M34" s="13">
        <v>1031.9000000000001</v>
      </c>
      <c r="N34" s="13">
        <v>1031.9000000000001</v>
      </c>
      <c r="O34" s="13">
        <v>1031.9000000000001</v>
      </c>
      <c r="P34" s="17" t="s">
        <v>4</v>
      </c>
      <c r="Q34" s="16"/>
    </row>
    <row r="35" spans="1:21" ht="18.75" customHeight="1" x14ac:dyDescent="0.45">
      <c r="A35" s="11">
        <v>9562319912</v>
      </c>
      <c r="B35" s="11"/>
      <c r="C35" s="12" t="s">
        <v>35</v>
      </c>
      <c r="D35" s="12"/>
      <c r="E35" s="25"/>
      <c r="F35" s="25"/>
      <c r="G35" s="25"/>
      <c r="H35" s="25"/>
      <c r="I35" s="25"/>
      <c r="J35" s="25"/>
      <c r="K35" s="13">
        <v>3060</v>
      </c>
      <c r="L35" s="13">
        <v>3060</v>
      </c>
      <c r="M35" s="13">
        <v>3060</v>
      </c>
      <c r="N35" s="13">
        <v>3060</v>
      </c>
      <c r="O35" s="13">
        <v>3060</v>
      </c>
      <c r="P35" s="13">
        <v>3060</v>
      </c>
      <c r="Q35" s="14" t="s">
        <v>4</v>
      </c>
    </row>
    <row r="36" spans="1:21" ht="15.75" customHeight="1" x14ac:dyDescent="0.45">
      <c r="A36" s="11">
        <v>6772250007</v>
      </c>
      <c r="B36" s="11"/>
      <c r="C36" s="23" t="s">
        <v>36</v>
      </c>
      <c r="D36" s="23"/>
      <c r="E36" s="13">
        <v>1116</v>
      </c>
      <c r="F36" s="13">
        <v>1116</v>
      </c>
      <c r="G36" s="13">
        <v>1116</v>
      </c>
      <c r="H36" s="13">
        <v>1116</v>
      </c>
      <c r="I36" s="13">
        <v>1116</v>
      </c>
      <c r="J36" s="20">
        <v>1116</v>
      </c>
      <c r="K36" s="20">
        <v>1116</v>
      </c>
      <c r="L36" s="20">
        <v>1116</v>
      </c>
      <c r="M36" s="13">
        <v>1116</v>
      </c>
      <c r="N36" s="13">
        <v>1116</v>
      </c>
      <c r="O36" s="26" t="s">
        <v>37</v>
      </c>
      <c r="P36" s="26"/>
      <c r="Q36" s="16"/>
    </row>
    <row r="37" spans="1:21" ht="18.75" customHeight="1" x14ac:dyDescent="0.45">
      <c r="A37" s="7"/>
      <c r="B37" s="7">
        <v>508</v>
      </c>
      <c r="C37" s="12" t="s">
        <v>38</v>
      </c>
      <c r="D37" s="12"/>
      <c r="E37" s="13">
        <v>1000</v>
      </c>
      <c r="F37" s="13">
        <v>1000</v>
      </c>
      <c r="G37" s="13">
        <v>1000</v>
      </c>
      <c r="H37" s="13">
        <v>1000</v>
      </c>
      <c r="I37" s="13">
        <v>1000</v>
      </c>
      <c r="J37" s="22">
        <f>800/1.23</f>
        <v>650.40650406504062</v>
      </c>
      <c r="K37" s="27">
        <v>0</v>
      </c>
      <c r="L37" s="27">
        <v>0</v>
      </c>
      <c r="M37" s="27">
        <v>0</v>
      </c>
      <c r="N37" s="27">
        <v>0</v>
      </c>
      <c r="O37" s="22">
        <f>800/1.23</f>
        <v>650.40650406504062</v>
      </c>
      <c r="P37" s="22">
        <f>800/1.23</f>
        <v>650.40650406504062</v>
      </c>
      <c r="Q37" s="28" t="s">
        <v>4</v>
      </c>
    </row>
    <row r="38" spans="1:21" ht="18.75" customHeight="1" x14ac:dyDescent="0.45">
      <c r="A38" s="7"/>
      <c r="B38" s="7">
        <v>458</v>
      </c>
      <c r="C38" s="12" t="s">
        <v>39</v>
      </c>
      <c r="D38" s="12"/>
      <c r="E38" s="13">
        <v>1160</v>
      </c>
      <c r="F38" s="13">
        <v>1160</v>
      </c>
      <c r="G38" s="13">
        <v>1160</v>
      </c>
      <c r="H38" s="13">
        <v>1160</v>
      </c>
      <c r="I38" s="13">
        <v>1160</v>
      </c>
      <c r="J38" s="13">
        <v>1160</v>
      </c>
      <c r="K38" s="22">
        <f>1161*0.9</f>
        <v>1044.9000000000001</v>
      </c>
      <c r="L38" s="13">
        <v>1160</v>
      </c>
      <c r="M38" s="13">
        <v>1160</v>
      </c>
      <c r="N38" s="13">
        <v>1160</v>
      </c>
      <c r="O38" s="13">
        <v>1160</v>
      </c>
      <c r="P38" s="13">
        <v>1160</v>
      </c>
      <c r="Q38" s="13">
        <v>1160</v>
      </c>
      <c r="R38" s="14" t="s">
        <v>4</v>
      </c>
    </row>
    <row r="39" spans="1:21" ht="18.75" customHeight="1" x14ac:dyDescent="0.45">
      <c r="A39" s="11">
        <v>8943128568</v>
      </c>
      <c r="B39" s="11">
        <v>383</v>
      </c>
      <c r="C39" s="12" t="s">
        <v>40</v>
      </c>
      <c r="D39" s="12"/>
      <c r="E39" s="13">
        <v>500</v>
      </c>
      <c r="F39" s="13">
        <v>500</v>
      </c>
      <c r="G39" s="13">
        <v>500</v>
      </c>
      <c r="H39" s="13">
        <v>500</v>
      </c>
      <c r="I39" s="13">
        <v>500</v>
      </c>
      <c r="J39" s="20">
        <v>500</v>
      </c>
      <c r="K39" s="20">
        <v>500</v>
      </c>
      <c r="L39" s="13">
        <v>500</v>
      </c>
      <c r="M39" s="13">
        <v>500</v>
      </c>
      <c r="N39" s="13">
        <v>500</v>
      </c>
      <c r="O39" s="13">
        <v>500</v>
      </c>
      <c r="P39" s="13">
        <v>500</v>
      </c>
      <c r="Q39" s="13">
        <v>500</v>
      </c>
      <c r="R39" s="17" t="s">
        <v>4</v>
      </c>
    </row>
    <row r="40" spans="1:21" ht="15.75" customHeight="1" thickBot="1" x14ac:dyDescent="0.5">
      <c r="A40" s="7"/>
      <c r="B40" s="7"/>
      <c r="C40" s="7" t="s">
        <v>41</v>
      </c>
      <c r="D40" s="7"/>
      <c r="E40" s="13">
        <f>5/31*854+26/31*1067</f>
        <v>1032.6451612903227</v>
      </c>
      <c r="F40" s="13">
        <v>1067</v>
      </c>
      <c r="G40" s="22">
        <v>0</v>
      </c>
      <c r="H40" s="13">
        <f>F40-G40</f>
        <v>1067</v>
      </c>
      <c r="I40" s="13">
        <v>1067</v>
      </c>
      <c r="J40" s="20">
        <v>1067</v>
      </c>
      <c r="K40" s="20">
        <v>1067</v>
      </c>
      <c r="L40" s="20">
        <v>1067</v>
      </c>
      <c r="M40" s="13">
        <v>1067</v>
      </c>
      <c r="N40" s="13">
        <v>1067</v>
      </c>
      <c r="O40" s="13">
        <v>1067</v>
      </c>
      <c r="P40" s="13">
        <v>1067</v>
      </c>
      <c r="Q40" s="29">
        <v>1067</v>
      </c>
      <c r="R40" s="29">
        <v>1067</v>
      </c>
      <c r="S40" s="19" t="s">
        <v>4</v>
      </c>
    </row>
    <row r="41" spans="1:21" ht="15.75" customHeight="1" x14ac:dyDescent="0.45">
      <c r="A41" s="11">
        <v>5223156256</v>
      </c>
      <c r="B41" s="11"/>
      <c r="C41" s="23" t="s">
        <v>42</v>
      </c>
      <c r="D41" s="23"/>
      <c r="E41" s="13">
        <v>957</v>
      </c>
      <c r="F41" s="13">
        <v>957</v>
      </c>
      <c r="G41" s="13">
        <v>957</v>
      </c>
      <c r="H41" s="13">
        <v>957</v>
      </c>
      <c r="I41" s="13">
        <v>957</v>
      </c>
      <c r="J41" s="20">
        <v>957</v>
      </c>
      <c r="K41" s="20">
        <v>957</v>
      </c>
      <c r="L41" s="13">
        <v>300</v>
      </c>
      <c r="M41" s="13">
        <v>300</v>
      </c>
      <c r="N41" s="13">
        <v>300</v>
      </c>
      <c r="O41" s="13">
        <v>300</v>
      </c>
      <c r="P41" s="13">
        <v>300</v>
      </c>
      <c r="Q41" s="13">
        <v>300</v>
      </c>
      <c r="R41" s="30">
        <v>300</v>
      </c>
      <c r="S41" s="19" t="s">
        <v>4</v>
      </c>
    </row>
    <row r="42" spans="1:21" ht="18.75" customHeight="1" x14ac:dyDescent="0.45">
      <c r="A42" s="11">
        <v>8942995292</v>
      </c>
      <c r="B42" s="11"/>
      <c r="C42" s="12" t="s">
        <v>43</v>
      </c>
      <c r="D42" s="12"/>
      <c r="E42" s="13">
        <v>808</v>
      </c>
      <c r="F42" s="13">
        <v>808</v>
      </c>
      <c r="G42" s="13">
        <v>808</v>
      </c>
      <c r="H42" s="13">
        <v>808</v>
      </c>
      <c r="I42" s="13">
        <v>808</v>
      </c>
      <c r="J42" s="20">
        <v>808</v>
      </c>
      <c r="K42" s="20">
        <v>808</v>
      </c>
      <c r="L42" s="20">
        <v>808</v>
      </c>
      <c r="M42" s="13">
        <v>808</v>
      </c>
      <c r="N42" s="13">
        <v>808</v>
      </c>
      <c r="O42" s="13">
        <v>808</v>
      </c>
      <c r="P42" s="13">
        <v>808</v>
      </c>
      <c r="Q42" s="13">
        <v>808</v>
      </c>
      <c r="R42" s="30">
        <f>Q42*1.15</f>
        <v>929.19999999999993</v>
      </c>
      <c r="S42" s="19" t="s">
        <v>4</v>
      </c>
    </row>
    <row r="43" spans="1:21" ht="15.75" customHeight="1" x14ac:dyDescent="0.45">
      <c r="A43" s="11">
        <v>9552385043</v>
      </c>
      <c r="B43" s="11"/>
      <c r="C43" s="7" t="s">
        <v>44</v>
      </c>
      <c r="D43" s="7"/>
      <c r="E43" s="13">
        <v>792</v>
      </c>
      <c r="F43" s="13">
        <v>792</v>
      </c>
      <c r="G43" s="13">
        <v>792</v>
      </c>
      <c r="H43" s="13">
        <v>792</v>
      </c>
      <c r="I43" s="13">
        <v>792</v>
      </c>
      <c r="J43" s="20">
        <v>1583</v>
      </c>
      <c r="K43" s="20">
        <v>1583</v>
      </c>
      <c r="L43" s="13">
        <v>1583</v>
      </c>
      <c r="M43" s="13">
        <v>1583</v>
      </c>
      <c r="N43" s="13">
        <v>1583</v>
      </c>
      <c r="O43" s="13">
        <v>1583</v>
      </c>
      <c r="P43" s="13">
        <v>1583</v>
      </c>
      <c r="Q43" s="13">
        <v>1583</v>
      </c>
      <c r="R43" s="13">
        <v>1583</v>
      </c>
      <c r="S43" s="13">
        <f>R43</f>
        <v>1583</v>
      </c>
      <c r="T43" s="1" t="s">
        <v>45</v>
      </c>
    </row>
    <row r="44" spans="1:21" ht="18.75" customHeight="1" x14ac:dyDescent="0.45">
      <c r="A44" s="11">
        <v>5272651441</v>
      </c>
      <c r="B44" s="11"/>
      <c r="C44" s="12" t="s">
        <v>46</v>
      </c>
      <c r="D44" s="12"/>
      <c r="E44" s="13">
        <v>300</v>
      </c>
      <c r="F44" s="13">
        <v>300</v>
      </c>
      <c r="G44" s="13">
        <v>300</v>
      </c>
      <c r="H44" s="13">
        <v>300</v>
      </c>
      <c r="I44" s="13">
        <v>300</v>
      </c>
      <c r="J44" s="20">
        <v>300</v>
      </c>
      <c r="K44" s="20">
        <v>300</v>
      </c>
      <c r="L44" s="13">
        <v>300</v>
      </c>
      <c r="M44" s="13">
        <v>300</v>
      </c>
      <c r="N44" s="13">
        <v>300</v>
      </c>
      <c r="O44" s="13">
        <v>300</v>
      </c>
      <c r="P44" s="13">
        <v>300</v>
      </c>
      <c r="Q44" s="13">
        <v>300</v>
      </c>
      <c r="R44" s="30">
        <f>Q44*1.15</f>
        <v>345</v>
      </c>
      <c r="S44" s="19" t="s">
        <v>4</v>
      </c>
    </row>
    <row r="45" spans="1:21" ht="15.75" customHeight="1" x14ac:dyDescent="0.45">
      <c r="A45" s="11">
        <v>9570303587</v>
      </c>
      <c r="B45" s="11"/>
      <c r="C45" s="7" t="s">
        <v>47</v>
      </c>
      <c r="D45" s="7"/>
      <c r="E45" s="13">
        <v>1006</v>
      </c>
      <c r="F45" s="13">
        <v>1006</v>
      </c>
      <c r="G45" s="13">
        <v>1006</v>
      </c>
      <c r="H45" s="13">
        <v>1006</v>
      </c>
      <c r="I45" s="13">
        <v>1006</v>
      </c>
      <c r="J45" s="13">
        <v>1006</v>
      </c>
      <c r="K45" s="13">
        <v>1006</v>
      </c>
      <c r="L45" s="13">
        <v>1006</v>
      </c>
      <c r="M45" s="13">
        <v>1006</v>
      </c>
      <c r="N45" s="13">
        <v>1006</v>
      </c>
      <c r="O45" s="13">
        <v>1006</v>
      </c>
      <c r="P45" s="13">
        <v>1006</v>
      </c>
      <c r="Q45" s="13">
        <v>1006</v>
      </c>
      <c r="R45" s="30">
        <f>Q45*1.15</f>
        <v>1156.8999999999999</v>
      </c>
      <c r="S45" s="19" t="s">
        <v>4</v>
      </c>
    </row>
    <row r="46" spans="1:21" ht="18.75" customHeight="1" x14ac:dyDescent="0.45">
      <c r="A46" s="11">
        <v>8942995292</v>
      </c>
      <c r="B46" s="11"/>
      <c r="C46" s="12" t="s">
        <v>43</v>
      </c>
      <c r="D46" s="12"/>
      <c r="E46" s="13">
        <v>808</v>
      </c>
      <c r="F46" s="13">
        <v>808</v>
      </c>
      <c r="G46" s="13">
        <v>808</v>
      </c>
      <c r="H46" s="13">
        <v>808</v>
      </c>
      <c r="I46" s="13">
        <v>808</v>
      </c>
      <c r="J46" s="20">
        <v>808</v>
      </c>
      <c r="K46" s="20">
        <v>808</v>
      </c>
      <c r="L46" s="20">
        <v>808</v>
      </c>
      <c r="M46" s="13">
        <v>808</v>
      </c>
      <c r="N46" s="13">
        <v>808</v>
      </c>
      <c r="O46" s="13">
        <v>808</v>
      </c>
      <c r="P46" s="13">
        <v>808</v>
      </c>
      <c r="Q46" s="17" t="s">
        <v>4</v>
      </c>
    </row>
    <row r="47" spans="1:21" ht="15.75" customHeight="1" x14ac:dyDescent="0.45">
      <c r="A47" s="11">
        <v>6612364481</v>
      </c>
      <c r="B47" s="7">
        <v>796</v>
      </c>
      <c r="C47" s="7" t="s">
        <v>48</v>
      </c>
      <c r="D47" s="7"/>
      <c r="F47" s="13">
        <v>1300.81</v>
      </c>
      <c r="G47" s="13">
        <v>1300.81</v>
      </c>
      <c r="H47" s="13">
        <v>1300.81</v>
      </c>
      <c r="I47" s="13">
        <v>1300.81</v>
      </c>
      <c r="J47" s="20">
        <v>1300.81</v>
      </c>
      <c r="K47" s="20">
        <v>1300.81</v>
      </c>
      <c r="L47" s="20">
        <v>1300.81</v>
      </c>
      <c r="M47" s="13">
        <v>1300.81</v>
      </c>
      <c r="N47" s="13">
        <v>1300.81</v>
      </c>
      <c r="O47" s="13">
        <v>1300.81</v>
      </c>
      <c r="P47" s="13">
        <v>1300.81</v>
      </c>
      <c r="Q47" s="13">
        <v>1300.81</v>
      </c>
      <c r="R47" s="30">
        <f>Q47*1.15</f>
        <v>1495.9314999999999</v>
      </c>
      <c r="S47" s="13">
        <f>R47</f>
        <v>1495.9314999999999</v>
      </c>
      <c r="T47" s="13">
        <f>S47</f>
        <v>1495.9314999999999</v>
      </c>
      <c r="U47" s="17" t="s">
        <v>4</v>
      </c>
    </row>
    <row r="48" spans="1:21" ht="15.75" customHeight="1" x14ac:dyDescent="0.45">
      <c r="A48" s="11">
        <v>8133690835</v>
      </c>
      <c r="B48" s="7">
        <v>674</v>
      </c>
      <c r="C48" s="7" t="s">
        <v>49</v>
      </c>
      <c r="D48" s="7"/>
      <c r="E48" s="13">
        <v>900</v>
      </c>
      <c r="F48" s="13">
        <v>900</v>
      </c>
      <c r="G48" s="13">
        <v>900</v>
      </c>
      <c r="H48" s="22">
        <v>0</v>
      </c>
      <c r="I48" s="13">
        <v>900</v>
      </c>
      <c r="J48" s="13">
        <v>900</v>
      </c>
      <c r="K48" s="13">
        <v>900</v>
      </c>
      <c r="L48" s="13">
        <v>900</v>
      </c>
      <c r="M48" s="13">
        <v>900</v>
      </c>
      <c r="N48" s="13">
        <v>900</v>
      </c>
      <c r="O48" s="13">
        <v>900</v>
      </c>
      <c r="P48" s="13">
        <v>900</v>
      </c>
      <c r="Q48" s="13">
        <v>900</v>
      </c>
      <c r="R48" s="13">
        <v>900</v>
      </c>
      <c r="S48" s="13">
        <v>900</v>
      </c>
      <c r="T48" s="13">
        <f>S48</f>
        <v>900</v>
      </c>
      <c r="U48" s="19" t="s">
        <v>4</v>
      </c>
    </row>
    <row r="49" spans="1:33" ht="18.5" x14ac:dyDescent="0.45">
      <c r="A49" s="11">
        <v>7712886908</v>
      </c>
      <c r="B49" s="11"/>
      <c r="C49" s="7" t="s">
        <v>50</v>
      </c>
      <c r="D49" s="7"/>
      <c r="T49" s="13">
        <f>16/31*901.6+21/30*901.6</f>
        <v>1096.461935483871</v>
      </c>
      <c r="U49" s="19" t="s">
        <v>4</v>
      </c>
    </row>
    <row r="50" spans="1:33" ht="18.75" customHeight="1" x14ac:dyDescent="0.45">
      <c r="A50" s="7"/>
      <c r="B50" s="7"/>
      <c r="C50" s="12" t="s">
        <v>51</v>
      </c>
      <c r="D50" s="12"/>
      <c r="E50" s="13">
        <v>2100</v>
      </c>
      <c r="F50" s="13">
        <v>2100</v>
      </c>
      <c r="G50" s="13">
        <v>2100</v>
      </c>
      <c r="H50" s="13">
        <v>2100</v>
      </c>
      <c r="I50" s="13">
        <v>2100</v>
      </c>
      <c r="J50" s="20">
        <v>2100</v>
      </c>
      <c r="K50" s="20">
        <v>2100</v>
      </c>
      <c r="L50" s="20">
        <f>2100*0.8</f>
        <v>1680</v>
      </c>
      <c r="M50" s="13">
        <v>2100</v>
      </c>
      <c r="N50" s="22">
        <f>2100*0.8</f>
        <v>1680</v>
      </c>
      <c r="O50" s="13">
        <v>2100</v>
      </c>
      <c r="P50" s="22">
        <v>0</v>
      </c>
      <c r="Q50" s="31">
        <v>2100</v>
      </c>
      <c r="R50" s="31">
        <v>2100</v>
      </c>
      <c r="S50" s="31">
        <f t="shared" ref="S50:U51" si="3">R50</f>
        <v>2100</v>
      </c>
      <c r="T50" s="31">
        <f t="shared" si="3"/>
        <v>2100</v>
      </c>
      <c r="U50" s="31">
        <f t="shared" si="3"/>
        <v>2100</v>
      </c>
      <c r="V50" s="19" t="s">
        <v>4</v>
      </c>
    </row>
    <row r="51" spans="1:33" ht="18.75" customHeight="1" x14ac:dyDescent="0.45">
      <c r="A51" s="11">
        <v>5252350506</v>
      </c>
      <c r="B51" s="11">
        <v>103</v>
      </c>
      <c r="C51" s="12" t="s">
        <v>52</v>
      </c>
      <c r="D51" s="12"/>
      <c r="E51" s="13">
        <f t="shared" ref="E51:K51" si="4">500/1.23</f>
        <v>406.5040650406504</v>
      </c>
      <c r="F51" s="13">
        <f t="shared" si="4"/>
        <v>406.5040650406504</v>
      </c>
      <c r="G51" s="13">
        <f t="shared" si="4"/>
        <v>406.5040650406504</v>
      </c>
      <c r="H51" s="13">
        <f t="shared" si="4"/>
        <v>406.5040650406504</v>
      </c>
      <c r="I51" s="13">
        <f t="shared" si="4"/>
        <v>406.5040650406504</v>
      </c>
      <c r="J51" s="20">
        <f t="shared" si="4"/>
        <v>406.5040650406504</v>
      </c>
      <c r="K51" s="20">
        <f t="shared" si="4"/>
        <v>406.5040650406504</v>
      </c>
      <c r="L51" s="20">
        <f t="shared" ref="L51:Q51" si="5">400/1.23</f>
        <v>325.20325203252031</v>
      </c>
      <c r="M51" s="20">
        <f t="shared" si="5"/>
        <v>325.20325203252031</v>
      </c>
      <c r="N51" s="13">
        <f t="shared" si="5"/>
        <v>325.20325203252031</v>
      </c>
      <c r="O51" s="13">
        <f t="shared" si="5"/>
        <v>325.20325203252031</v>
      </c>
      <c r="P51" s="13">
        <f t="shared" si="5"/>
        <v>325.20325203252031</v>
      </c>
      <c r="Q51" s="13">
        <f t="shared" si="5"/>
        <v>325.20325203252031</v>
      </c>
      <c r="R51" s="30">
        <f>Q51*1.15</f>
        <v>373.98373983739833</v>
      </c>
      <c r="S51" s="13">
        <f t="shared" si="3"/>
        <v>373.98373983739833</v>
      </c>
      <c r="T51" s="13">
        <f t="shared" si="3"/>
        <v>373.98373983739833</v>
      </c>
      <c r="U51" s="13">
        <f t="shared" si="3"/>
        <v>373.98373983739833</v>
      </c>
      <c r="V51" s="19" t="s">
        <v>4</v>
      </c>
    </row>
    <row r="52" spans="1:33" ht="15.75" customHeight="1" x14ac:dyDescent="0.45">
      <c r="A52" s="11">
        <v>8722425285</v>
      </c>
      <c r="B52" s="7">
        <v>912</v>
      </c>
      <c r="C52" s="7" t="s">
        <v>53</v>
      </c>
      <c r="D52" s="7"/>
      <c r="P52" s="13">
        <f>26/31*1296</f>
        <v>1086.9677419354839</v>
      </c>
      <c r="Q52" s="13">
        <v>1296</v>
      </c>
      <c r="R52" s="13">
        <v>1296</v>
      </c>
      <c r="S52" s="13">
        <f>R52</f>
        <v>1296</v>
      </c>
      <c r="T52" s="13">
        <f>S52</f>
        <v>1296</v>
      </c>
      <c r="U52" s="19" t="s">
        <v>4</v>
      </c>
    </row>
    <row r="53" spans="1:33" ht="18.75" customHeight="1" x14ac:dyDescent="0.45">
      <c r="A53" s="11">
        <v>7811850291</v>
      </c>
      <c r="B53" s="11"/>
      <c r="C53" s="12" t="s">
        <v>54</v>
      </c>
      <c r="D53" s="12"/>
      <c r="E53" s="13">
        <v>790</v>
      </c>
      <c r="F53" s="13">
        <v>790</v>
      </c>
      <c r="G53" s="13">
        <v>790</v>
      </c>
      <c r="H53" s="13">
        <v>790</v>
      </c>
      <c r="I53" s="13">
        <v>790</v>
      </c>
      <c r="J53" s="20">
        <v>790</v>
      </c>
      <c r="K53" s="20">
        <v>790</v>
      </c>
      <c r="L53" s="13">
        <v>790</v>
      </c>
      <c r="M53" s="13">
        <v>790</v>
      </c>
      <c r="N53" s="13">
        <v>790</v>
      </c>
      <c r="O53" s="13">
        <v>790</v>
      </c>
      <c r="P53" s="13">
        <v>790</v>
      </c>
      <c r="Q53" s="13">
        <v>790</v>
      </c>
      <c r="R53" s="32">
        <f>PRODUCT(Q53*1.15)</f>
        <v>908.49999999999989</v>
      </c>
      <c r="S53" s="19" t="s">
        <v>4</v>
      </c>
    </row>
    <row r="54" spans="1:33" ht="18.75" customHeight="1" x14ac:dyDescent="0.45">
      <c r="A54" s="11">
        <v>5862324364</v>
      </c>
      <c r="B54" s="11">
        <v>516</v>
      </c>
      <c r="C54" s="12" t="s">
        <v>55</v>
      </c>
      <c r="D54" s="12"/>
      <c r="E54" s="13">
        <v>2943.2</v>
      </c>
      <c r="F54" s="13">
        <v>2943.2</v>
      </c>
      <c r="G54" s="13">
        <v>2943.2</v>
      </c>
      <c r="H54" s="13">
        <v>2943.2</v>
      </c>
      <c r="I54" s="13">
        <v>2943.2</v>
      </c>
      <c r="J54" s="20">
        <v>2943.2</v>
      </c>
      <c r="K54" s="20">
        <v>2943.2</v>
      </c>
      <c r="L54" s="20">
        <v>2943.2</v>
      </c>
      <c r="M54" s="20">
        <v>2943.2</v>
      </c>
      <c r="N54" s="13">
        <v>2943.2</v>
      </c>
      <c r="O54" s="13">
        <v>2943.2</v>
      </c>
      <c r="P54" s="13">
        <v>2943.2</v>
      </c>
      <c r="Q54" s="13">
        <v>2943.2</v>
      </c>
      <c r="R54" s="13">
        <v>2943.2</v>
      </c>
      <c r="S54" s="13">
        <f>R54</f>
        <v>2943.2</v>
      </c>
      <c r="T54" s="13">
        <f>S54</f>
        <v>2943.2</v>
      </c>
      <c r="U54" s="13">
        <f>T54</f>
        <v>2943.2</v>
      </c>
      <c r="V54" s="19" t="s">
        <v>4</v>
      </c>
    </row>
    <row r="55" spans="1:33" ht="15.75" customHeight="1" x14ac:dyDescent="0.45">
      <c r="A55" s="33" t="s">
        <v>56</v>
      </c>
      <c r="B55" s="7">
        <v>858</v>
      </c>
      <c r="C55" s="34" t="s">
        <v>57</v>
      </c>
      <c r="D55" s="34"/>
      <c r="E55" s="35" t="s">
        <v>57</v>
      </c>
      <c r="O55" s="13">
        <f>24/31*468.5</f>
        <v>362.70967741935482</v>
      </c>
      <c r="P55" s="13">
        <v>468.5</v>
      </c>
      <c r="Q55" s="13">
        <v>468.5</v>
      </c>
      <c r="R55" s="13">
        <v>468.5</v>
      </c>
      <c r="S55" s="13">
        <v>468.5</v>
      </c>
      <c r="T55" s="22">
        <f>24/31*800+7/31*468.5</f>
        <v>725.14516129032256</v>
      </c>
      <c r="U55" s="22" t="s">
        <v>58</v>
      </c>
      <c r="AG55" s="36"/>
    </row>
    <row r="56" spans="1:33" ht="18.5" x14ac:dyDescent="0.45">
      <c r="A56" s="37">
        <v>8481718487</v>
      </c>
      <c r="B56" s="37"/>
      <c r="C56" s="12" t="s">
        <v>59</v>
      </c>
      <c r="D56" s="12"/>
      <c r="Q56" s="20">
        <f>8/31*1036.8</f>
        <v>267.56129032258065</v>
      </c>
      <c r="R56" s="20">
        <f>1036.8</f>
        <v>1036.8</v>
      </c>
      <c r="S56" s="13">
        <f t="shared" ref="S56:V60" si="6">R56</f>
        <v>1036.8</v>
      </c>
      <c r="T56" s="13">
        <f t="shared" si="6"/>
        <v>1036.8</v>
      </c>
      <c r="U56" s="13">
        <f t="shared" si="6"/>
        <v>1036.8</v>
      </c>
      <c r="V56" s="13">
        <f t="shared" si="6"/>
        <v>1036.8</v>
      </c>
      <c r="W56" s="19" t="s">
        <v>4</v>
      </c>
    </row>
    <row r="57" spans="1:33" ht="18.649999999999999" customHeight="1" x14ac:dyDescent="0.45">
      <c r="A57" s="11">
        <v>5862245682</v>
      </c>
      <c r="B57" s="11"/>
      <c r="C57" s="12" t="s">
        <v>60</v>
      </c>
      <c r="D57" s="12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13">
        <v>3510</v>
      </c>
      <c r="Q57" s="39">
        <f>P57*1.15</f>
        <v>4036.4999999999995</v>
      </c>
      <c r="R57" s="13">
        <f>Q57</f>
        <v>4036.4999999999995</v>
      </c>
      <c r="S57" s="13">
        <f t="shared" si="6"/>
        <v>4036.4999999999995</v>
      </c>
      <c r="T57" s="13">
        <f t="shared" si="6"/>
        <v>4036.4999999999995</v>
      </c>
      <c r="U57" s="13">
        <f t="shared" si="6"/>
        <v>4036.4999999999995</v>
      </c>
      <c r="V57" s="13">
        <f t="shared" si="6"/>
        <v>4036.4999999999995</v>
      </c>
      <c r="W57" s="19" t="s">
        <v>4</v>
      </c>
    </row>
    <row r="58" spans="1:33" ht="18.75" customHeight="1" x14ac:dyDescent="0.45">
      <c r="A58" s="7">
        <v>8942722074</v>
      </c>
      <c r="B58" s="7"/>
      <c r="C58" s="12" t="s">
        <v>61</v>
      </c>
      <c r="D58" s="12"/>
      <c r="E58" s="13">
        <v>1481</v>
      </c>
      <c r="F58" s="13">
        <v>1481</v>
      </c>
      <c r="G58" s="13">
        <v>1481</v>
      </c>
      <c r="H58" s="13">
        <v>1481</v>
      </c>
      <c r="I58" s="13">
        <v>1481</v>
      </c>
      <c r="J58" s="20">
        <v>1481</v>
      </c>
      <c r="K58" s="20">
        <v>1481</v>
      </c>
      <c r="L58" s="20">
        <v>1481</v>
      </c>
      <c r="M58" s="13">
        <v>1481</v>
      </c>
      <c r="N58" s="13">
        <v>1481</v>
      </c>
      <c r="O58" s="13">
        <v>1481</v>
      </c>
      <c r="P58" s="13">
        <v>1481</v>
      </c>
      <c r="Q58" s="39">
        <f>P58*1.15</f>
        <v>1703.1499999999999</v>
      </c>
      <c r="R58" s="13">
        <f>Q58</f>
        <v>1703.1499999999999</v>
      </c>
      <c r="S58" s="13">
        <f t="shared" si="6"/>
        <v>1703.1499999999999</v>
      </c>
      <c r="T58" s="13">
        <f t="shared" si="6"/>
        <v>1703.1499999999999</v>
      </c>
      <c r="U58" s="13">
        <f t="shared" si="6"/>
        <v>1703.1499999999999</v>
      </c>
      <c r="V58" s="13">
        <f t="shared" si="6"/>
        <v>1703.1499999999999</v>
      </c>
      <c r="W58" s="19" t="s">
        <v>4</v>
      </c>
    </row>
    <row r="59" spans="1:33" ht="15.75" customHeight="1" x14ac:dyDescent="0.45">
      <c r="A59" s="7">
        <v>8943144053</v>
      </c>
      <c r="B59" s="7"/>
      <c r="C59" s="7" t="s">
        <v>62</v>
      </c>
      <c r="D59" s="7"/>
      <c r="L59" s="13">
        <f>23/31*1000/1.23</f>
        <v>603.19958038290065</v>
      </c>
      <c r="M59" s="13">
        <f>1000/1.23</f>
        <v>813.00813008130081</v>
      </c>
      <c r="N59" s="13">
        <f>1000/1.23</f>
        <v>813.00813008130081</v>
      </c>
      <c r="O59" s="13">
        <f>1000/1.23</f>
        <v>813.00813008130081</v>
      </c>
      <c r="P59" s="13">
        <f>1000/1.23</f>
        <v>813.00813008130081</v>
      </c>
      <c r="Q59" s="13">
        <f>1000/1.23</f>
        <v>813.00813008130081</v>
      </c>
      <c r="R59" s="40">
        <f>PRODUCT(Q59*1.15)</f>
        <v>934.95934959349586</v>
      </c>
      <c r="S59" s="13">
        <f t="shared" si="6"/>
        <v>934.95934959349586</v>
      </c>
      <c r="T59" s="13">
        <f t="shared" si="6"/>
        <v>934.95934959349586</v>
      </c>
      <c r="U59" s="13">
        <f t="shared" si="6"/>
        <v>934.95934959349586</v>
      </c>
      <c r="V59" s="13">
        <f t="shared" si="6"/>
        <v>934.95934959349586</v>
      </c>
      <c r="W59" s="19" t="s">
        <v>4</v>
      </c>
    </row>
    <row r="60" spans="1:33" ht="15.75" customHeight="1" x14ac:dyDescent="0.45">
      <c r="A60" s="11">
        <v>7011016480</v>
      </c>
      <c r="B60" s="11"/>
      <c r="C60" s="7" t="s">
        <v>63</v>
      </c>
      <c r="D60" s="7"/>
      <c r="E60" s="13">
        <v>1167</v>
      </c>
      <c r="F60" s="13">
        <v>1167</v>
      </c>
      <c r="G60" s="13">
        <v>1167</v>
      </c>
      <c r="H60" s="13">
        <v>1167</v>
      </c>
      <c r="I60" s="22">
        <f>1167+159*9/31</f>
        <v>1213.1612903225807</v>
      </c>
      <c r="J60" s="20">
        <f t="shared" ref="J60:Q60" si="7">1167+159</f>
        <v>1326</v>
      </c>
      <c r="K60" s="20">
        <f t="shared" si="7"/>
        <v>1326</v>
      </c>
      <c r="L60" s="20">
        <f t="shared" si="7"/>
        <v>1326</v>
      </c>
      <c r="M60" s="13">
        <f t="shared" si="7"/>
        <v>1326</v>
      </c>
      <c r="N60" s="13">
        <f t="shared" si="7"/>
        <v>1326</v>
      </c>
      <c r="O60" s="13">
        <f t="shared" si="7"/>
        <v>1326</v>
      </c>
      <c r="P60" s="13">
        <f t="shared" si="7"/>
        <v>1326</v>
      </c>
      <c r="Q60" s="13">
        <f t="shared" si="7"/>
        <v>1326</v>
      </c>
      <c r="R60" s="30">
        <f>Q60*1.15</f>
        <v>1524.8999999999999</v>
      </c>
      <c r="S60" s="13">
        <f t="shared" si="6"/>
        <v>1524.8999999999999</v>
      </c>
      <c r="T60" s="13">
        <f t="shared" si="6"/>
        <v>1524.8999999999999</v>
      </c>
      <c r="U60" s="13">
        <f t="shared" si="6"/>
        <v>1524.8999999999999</v>
      </c>
      <c r="V60" s="13">
        <f t="shared" si="6"/>
        <v>1524.8999999999999</v>
      </c>
      <c r="W60" s="19" t="s">
        <v>4</v>
      </c>
    </row>
    <row r="61" spans="1:33" ht="18.5" x14ac:dyDescent="0.45">
      <c r="A61" s="11">
        <v>9562304388</v>
      </c>
      <c r="B61" s="11"/>
      <c r="C61" s="7" t="s">
        <v>64</v>
      </c>
      <c r="D61" s="7"/>
      <c r="Q61" s="16"/>
      <c r="T61" s="13">
        <f>10/30*1353.75</f>
        <v>451.25</v>
      </c>
      <c r="U61" s="13">
        <f t="shared" ref="U61:Y64" si="8">5415/4</f>
        <v>1353.75</v>
      </c>
      <c r="V61" s="13">
        <f t="shared" si="8"/>
        <v>1353.75</v>
      </c>
      <c r="W61" s="13">
        <f t="shared" si="8"/>
        <v>1353.75</v>
      </c>
      <c r="X61" s="13">
        <f t="shared" si="8"/>
        <v>1353.75</v>
      </c>
      <c r="Y61" s="13">
        <f t="shared" si="8"/>
        <v>1353.75</v>
      </c>
      <c r="Z61" s="19" t="s">
        <v>4</v>
      </c>
    </row>
    <row r="62" spans="1:33" ht="18.5" x14ac:dyDescent="0.45">
      <c r="A62" s="11">
        <v>9562304388</v>
      </c>
      <c r="B62" s="11"/>
      <c r="C62" s="7" t="s">
        <v>64</v>
      </c>
      <c r="D62" s="7"/>
      <c r="Q62" s="16"/>
      <c r="T62" s="13">
        <f>10/30*1353.75</f>
        <v>451.25</v>
      </c>
      <c r="U62" s="13">
        <f t="shared" si="8"/>
        <v>1353.75</v>
      </c>
      <c r="V62" s="13">
        <f t="shared" si="8"/>
        <v>1353.75</v>
      </c>
      <c r="W62" s="13">
        <f t="shared" si="8"/>
        <v>1353.75</v>
      </c>
      <c r="X62" s="13">
        <f t="shared" si="8"/>
        <v>1353.75</v>
      </c>
      <c r="Y62" s="13">
        <f t="shared" si="8"/>
        <v>1353.75</v>
      </c>
      <c r="Z62" s="19" t="s">
        <v>4</v>
      </c>
    </row>
    <row r="63" spans="1:33" ht="18.5" x14ac:dyDescent="0.45">
      <c r="A63" s="11">
        <v>9562304388</v>
      </c>
      <c r="B63" s="11"/>
      <c r="C63" s="7" t="s">
        <v>64</v>
      </c>
      <c r="D63" s="7"/>
      <c r="Q63" s="16"/>
      <c r="T63" s="13">
        <f>10/30*1353.75</f>
        <v>451.25</v>
      </c>
      <c r="U63" s="13">
        <f t="shared" si="8"/>
        <v>1353.75</v>
      </c>
      <c r="V63" s="13">
        <f t="shared" si="8"/>
        <v>1353.75</v>
      </c>
      <c r="W63" s="13">
        <f t="shared" si="8"/>
        <v>1353.75</v>
      </c>
      <c r="X63" s="13">
        <f t="shared" si="8"/>
        <v>1353.75</v>
      </c>
      <c r="Y63" s="13">
        <f t="shared" si="8"/>
        <v>1353.75</v>
      </c>
      <c r="Z63" s="19" t="s">
        <v>4</v>
      </c>
    </row>
    <row r="64" spans="1:33" ht="18.5" x14ac:dyDescent="0.45">
      <c r="A64" s="11">
        <v>9562304388</v>
      </c>
      <c r="B64" s="11"/>
      <c r="C64" s="7" t="s">
        <v>64</v>
      </c>
      <c r="D64" s="7"/>
      <c r="Q64" s="16"/>
      <c r="T64" s="13">
        <f>10/30*1353.75</f>
        <v>451.25</v>
      </c>
      <c r="U64" s="13">
        <f t="shared" si="8"/>
        <v>1353.75</v>
      </c>
      <c r="V64" s="13">
        <f t="shared" si="8"/>
        <v>1353.75</v>
      </c>
      <c r="W64" s="13">
        <f t="shared" si="8"/>
        <v>1353.75</v>
      </c>
      <c r="X64" s="13">
        <f t="shared" si="8"/>
        <v>1353.75</v>
      </c>
      <c r="Y64" s="13">
        <f t="shared" si="8"/>
        <v>1353.75</v>
      </c>
      <c r="Z64" s="19" t="s">
        <v>4</v>
      </c>
    </row>
    <row r="65" spans="1:28" ht="18.5" x14ac:dyDescent="0.45">
      <c r="A65" s="11">
        <v>7831848096</v>
      </c>
      <c r="B65" s="11"/>
      <c r="C65" s="7" t="s">
        <v>65</v>
      </c>
      <c r="D65" s="7"/>
      <c r="Q65" s="16"/>
      <c r="T65" s="13">
        <v>1296</v>
      </c>
      <c r="U65" s="13">
        <f>T65</f>
        <v>1296</v>
      </c>
      <c r="V65" s="13">
        <f>U65</f>
        <v>1296</v>
      </c>
      <c r="W65" s="13">
        <f>V65</f>
        <v>1296</v>
      </c>
      <c r="X65" s="13">
        <f>W65</f>
        <v>1296</v>
      </c>
      <c r="Y65" s="13">
        <f>X65</f>
        <v>1296</v>
      </c>
      <c r="Z65" s="19" t="s">
        <v>4</v>
      </c>
    </row>
    <row r="66" spans="1:28" ht="15.75" customHeight="1" x14ac:dyDescent="0.45">
      <c r="A66" s="7">
        <v>9451974588</v>
      </c>
      <c r="B66" s="7"/>
      <c r="C66" s="7" t="s">
        <v>66</v>
      </c>
      <c r="D66" s="7"/>
      <c r="M66" s="18"/>
      <c r="N66" s="13">
        <f>26/31*449</f>
        <v>376.58064516129036</v>
      </c>
      <c r="O66" s="13">
        <v>449</v>
      </c>
      <c r="P66" s="13">
        <v>449</v>
      </c>
      <c r="Q66" s="41">
        <f>26/31*549+5/31*449</f>
        <v>532.87096774193549</v>
      </c>
      <c r="R66" s="42">
        <f>549*1.15</f>
        <v>631.34999999999991</v>
      </c>
      <c r="S66" s="22">
        <f>R66*0.8</f>
        <v>505.07999999999993</v>
      </c>
      <c r="T66" s="13">
        <v>631.35</v>
      </c>
      <c r="U66" s="13">
        <f t="shared" ref="U66:X72" si="9">T66</f>
        <v>631.35</v>
      </c>
      <c r="V66" s="13">
        <f t="shared" si="9"/>
        <v>631.35</v>
      </c>
      <c r="W66" s="13">
        <f t="shared" si="9"/>
        <v>631.35</v>
      </c>
      <c r="X66" s="13">
        <f t="shared" si="9"/>
        <v>631.35</v>
      </c>
      <c r="Y66" s="19" t="s">
        <v>4</v>
      </c>
    </row>
    <row r="67" spans="1:28" ht="15.75" customHeight="1" x14ac:dyDescent="0.45">
      <c r="A67" s="7">
        <v>9541509300</v>
      </c>
      <c r="B67" s="7"/>
      <c r="C67" s="43" t="s">
        <v>67</v>
      </c>
      <c r="D67" s="43"/>
      <c r="H67" s="13">
        <f>17/30*965</f>
        <v>546.83333333333337</v>
      </c>
      <c r="I67" s="13">
        <v>965</v>
      </c>
      <c r="J67" s="13">
        <v>965</v>
      </c>
      <c r="K67" s="13">
        <v>965</v>
      </c>
      <c r="L67" s="13">
        <v>965</v>
      </c>
      <c r="M67" s="13">
        <v>965</v>
      </c>
      <c r="N67" s="13">
        <v>965</v>
      </c>
      <c r="O67" s="13">
        <v>965</v>
      </c>
      <c r="P67" s="13">
        <v>965</v>
      </c>
      <c r="Q67" s="13">
        <v>965</v>
      </c>
      <c r="R67" s="32">
        <f>PRODUCT(Q67*1.15)</f>
        <v>1109.75</v>
      </c>
      <c r="S67" s="13">
        <f t="shared" ref="S67:T72" si="10">R67</f>
        <v>1109.75</v>
      </c>
      <c r="T67" s="13">
        <f t="shared" si="10"/>
        <v>1109.75</v>
      </c>
      <c r="U67" s="13">
        <f t="shared" si="9"/>
        <v>1109.75</v>
      </c>
      <c r="V67" s="13">
        <f t="shared" si="9"/>
        <v>1109.75</v>
      </c>
      <c r="W67" s="13">
        <f t="shared" si="9"/>
        <v>1109.75</v>
      </c>
      <c r="X67" s="13">
        <f t="shared" si="9"/>
        <v>1109.75</v>
      </c>
      <c r="Y67" s="17" t="s">
        <v>4</v>
      </c>
    </row>
    <row r="68" spans="1:28" ht="15.75" customHeight="1" thickBot="1" x14ac:dyDescent="0.5">
      <c r="A68" s="11">
        <v>9592055978</v>
      </c>
      <c r="B68" s="11"/>
      <c r="C68" s="7" t="s">
        <v>68</v>
      </c>
      <c r="D68" s="7"/>
      <c r="E68" s="13">
        <f>27/31*600</f>
        <v>522.58064516129036</v>
      </c>
      <c r="F68" s="13">
        <v>600</v>
      </c>
      <c r="G68" s="13">
        <v>600</v>
      </c>
      <c r="H68" s="13">
        <v>600</v>
      </c>
      <c r="I68" s="13">
        <v>600</v>
      </c>
      <c r="J68" s="13">
        <v>600</v>
      </c>
      <c r="K68" s="22">
        <f>27/31*908+4/31*600</f>
        <v>868.25806451612902</v>
      </c>
      <c r="L68" s="13">
        <v>908</v>
      </c>
      <c r="M68" s="13">
        <v>908</v>
      </c>
      <c r="N68" s="13">
        <v>908</v>
      </c>
      <c r="O68" s="13">
        <v>908</v>
      </c>
      <c r="P68" s="13">
        <v>908</v>
      </c>
      <c r="Q68" s="44">
        <v>908</v>
      </c>
      <c r="R68" s="45">
        <f>Q68*1.15</f>
        <v>1044.1999999999998</v>
      </c>
      <c r="S68" s="13">
        <f t="shared" si="10"/>
        <v>1044.1999999999998</v>
      </c>
      <c r="T68" s="13">
        <f t="shared" si="10"/>
        <v>1044.1999999999998</v>
      </c>
      <c r="U68" s="13">
        <f t="shared" si="9"/>
        <v>1044.1999999999998</v>
      </c>
      <c r="V68" s="13">
        <f t="shared" si="9"/>
        <v>1044.1999999999998</v>
      </c>
      <c r="W68" s="13">
        <f t="shared" si="9"/>
        <v>1044.1999999999998</v>
      </c>
      <c r="X68" s="13">
        <f t="shared" si="9"/>
        <v>1044.1999999999998</v>
      </c>
      <c r="Y68" s="13">
        <f>X68</f>
        <v>1044.1999999999998</v>
      </c>
      <c r="Z68" s="17" t="s">
        <v>4</v>
      </c>
    </row>
    <row r="69" spans="1:28" ht="15.75" customHeight="1" x14ac:dyDescent="0.45">
      <c r="A69" s="11">
        <v>8291579611</v>
      </c>
      <c r="B69" s="11"/>
      <c r="C69" s="7" t="s">
        <v>69</v>
      </c>
      <c r="D69" s="7"/>
      <c r="E69" s="13">
        <v>1300</v>
      </c>
      <c r="F69" s="13">
        <v>1300</v>
      </c>
      <c r="G69" s="13">
        <v>1300</v>
      </c>
      <c r="H69" s="13">
        <v>1300</v>
      </c>
      <c r="I69" s="20">
        <v>1300</v>
      </c>
      <c r="J69" s="20">
        <v>1300</v>
      </c>
      <c r="K69" s="20">
        <v>1300</v>
      </c>
      <c r="L69" s="13">
        <v>1300</v>
      </c>
      <c r="M69" s="13">
        <v>1300</v>
      </c>
      <c r="N69" s="13">
        <v>1300</v>
      </c>
      <c r="O69" s="13">
        <v>1300</v>
      </c>
      <c r="P69" s="13">
        <v>1300</v>
      </c>
      <c r="Q69" s="13">
        <v>1300</v>
      </c>
      <c r="R69" s="13">
        <f>Q69</f>
        <v>1300</v>
      </c>
      <c r="S69" s="13">
        <f t="shared" si="10"/>
        <v>1300</v>
      </c>
      <c r="T69" s="13">
        <f t="shared" si="10"/>
        <v>1300</v>
      </c>
      <c r="U69" s="13">
        <f t="shared" si="9"/>
        <v>1300</v>
      </c>
      <c r="V69" s="13">
        <f t="shared" si="9"/>
        <v>1300</v>
      </c>
      <c r="W69" s="13">
        <f t="shared" si="9"/>
        <v>1300</v>
      </c>
      <c r="X69" s="17" t="s">
        <v>4</v>
      </c>
    </row>
    <row r="70" spans="1:28" ht="15.75" customHeight="1" x14ac:dyDescent="0.45">
      <c r="A70" s="11">
        <v>6312382167</v>
      </c>
      <c r="B70" s="11"/>
      <c r="C70" s="7" t="s">
        <v>70</v>
      </c>
      <c r="D70" s="7"/>
      <c r="E70" s="13">
        <v>813</v>
      </c>
      <c r="F70" s="13">
        <v>813</v>
      </c>
      <c r="G70" s="13">
        <v>813</v>
      </c>
      <c r="H70" s="13">
        <v>813</v>
      </c>
      <c r="I70" s="13">
        <v>813</v>
      </c>
      <c r="J70" s="22">
        <v>1000</v>
      </c>
      <c r="K70" s="13">
        <v>1000</v>
      </c>
      <c r="L70" s="13">
        <v>1000</v>
      </c>
      <c r="M70" s="13">
        <v>1000</v>
      </c>
      <c r="N70" s="13">
        <v>1000</v>
      </c>
      <c r="O70" s="13">
        <v>1000</v>
      </c>
      <c r="P70" s="13">
        <v>1000</v>
      </c>
      <c r="Q70" s="13">
        <v>1000</v>
      </c>
      <c r="R70" s="30">
        <f>Q70*1.15</f>
        <v>1150</v>
      </c>
      <c r="S70" s="13">
        <f t="shared" si="10"/>
        <v>1150</v>
      </c>
      <c r="T70" s="13">
        <f t="shared" si="10"/>
        <v>1150</v>
      </c>
      <c r="U70" s="13">
        <f t="shared" si="9"/>
        <v>1150</v>
      </c>
      <c r="V70" s="13">
        <f t="shared" si="9"/>
        <v>1150</v>
      </c>
      <c r="W70" s="13">
        <f t="shared" si="9"/>
        <v>1150</v>
      </c>
      <c r="X70" s="13">
        <f>W70</f>
        <v>1150</v>
      </c>
      <c r="Y70" s="17" t="s">
        <v>4</v>
      </c>
      <c r="Z70" s="18"/>
    </row>
    <row r="71" spans="1:28" ht="15.75" customHeight="1" x14ac:dyDescent="0.45">
      <c r="A71" s="11">
        <v>5472200973</v>
      </c>
      <c r="B71" s="11"/>
      <c r="C71" s="7" t="s">
        <v>71</v>
      </c>
      <c r="D71" s="7"/>
      <c r="E71" s="13">
        <v>650.41</v>
      </c>
      <c r="F71" s="13">
        <v>650.41</v>
      </c>
      <c r="G71" s="13">
        <v>650.41</v>
      </c>
      <c r="H71" s="13">
        <v>650.41</v>
      </c>
      <c r="I71" s="13">
        <v>650.41</v>
      </c>
      <c r="J71" s="20">
        <v>650.41</v>
      </c>
      <c r="K71" s="20">
        <v>650.41</v>
      </c>
      <c r="L71" s="20">
        <v>650.41</v>
      </c>
      <c r="M71" s="13">
        <v>650.41</v>
      </c>
      <c r="N71" s="13">
        <v>650.41</v>
      </c>
      <c r="O71" s="13">
        <v>650.41</v>
      </c>
      <c r="P71" s="13">
        <v>650.41</v>
      </c>
      <c r="Q71" s="13">
        <v>650.41</v>
      </c>
      <c r="R71" s="13">
        <v>650.41</v>
      </c>
      <c r="S71" s="13">
        <f t="shared" si="10"/>
        <v>650.41</v>
      </c>
      <c r="T71" s="13">
        <f t="shared" si="10"/>
        <v>650.41</v>
      </c>
      <c r="U71" s="13">
        <f t="shared" si="9"/>
        <v>650.41</v>
      </c>
      <c r="V71" s="13">
        <f t="shared" si="9"/>
        <v>650.41</v>
      </c>
      <c r="W71" s="13">
        <f t="shared" si="9"/>
        <v>650.41</v>
      </c>
      <c r="X71" s="13">
        <f>W71</f>
        <v>650.41</v>
      </c>
      <c r="Y71" s="13">
        <f>X71</f>
        <v>650.41</v>
      </c>
      <c r="Z71" s="46" t="s">
        <v>4</v>
      </c>
    </row>
    <row r="72" spans="1:28" ht="15.75" customHeight="1" x14ac:dyDescent="0.45">
      <c r="A72" s="11">
        <v>7282799695</v>
      </c>
      <c r="B72" s="11"/>
      <c r="C72" s="7" t="s">
        <v>72</v>
      </c>
      <c r="D72" s="7"/>
      <c r="E72" s="13">
        <v>1004.4</v>
      </c>
      <c r="F72" s="13">
        <v>1004.4</v>
      </c>
      <c r="G72" s="13">
        <v>1004.4</v>
      </c>
      <c r="H72" s="13">
        <v>1004.4</v>
      </c>
      <c r="I72" s="13">
        <v>1004.4</v>
      </c>
      <c r="J72" s="20">
        <v>1004.4</v>
      </c>
      <c r="K72" s="20">
        <v>1004.4</v>
      </c>
      <c r="L72" s="20">
        <v>1004.4</v>
      </c>
      <c r="M72" s="13">
        <v>1004.4</v>
      </c>
      <c r="N72" s="13">
        <v>1004.4</v>
      </c>
      <c r="O72" s="13">
        <v>1004.4</v>
      </c>
      <c r="P72" s="13">
        <v>1004.4</v>
      </c>
      <c r="Q72" s="13">
        <v>1004.4</v>
      </c>
      <c r="R72" s="32">
        <f>PRODUCT(Q72*1.15)</f>
        <v>1155.06</v>
      </c>
      <c r="S72" s="13">
        <f t="shared" si="10"/>
        <v>1155.06</v>
      </c>
      <c r="T72" s="13">
        <f t="shared" si="10"/>
        <v>1155.06</v>
      </c>
      <c r="U72" s="13">
        <f t="shared" si="9"/>
        <v>1155.06</v>
      </c>
      <c r="V72" s="13">
        <f t="shared" si="9"/>
        <v>1155.06</v>
      </c>
      <c r="W72" s="13">
        <f t="shared" si="9"/>
        <v>1155.06</v>
      </c>
      <c r="X72" s="13">
        <f>W72</f>
        <v>1155.06</v>
      </c>
      <c r="Y72" s="13">
        <f>X72</f>
        <v>1155.06</v>
      </c>
      <c r="Z72" s="46" t="s">
        <v>4</v>
      </c>
    </row>
    <row r="73" spans="1:28" ht="18.75" customHeight="1" x14ac:dyDescent="0.45">
      <c r="A73" s="11">
        <v>7181974501</v>
      </c>
      <c r="B73" s="11"/>
      <c r="C73" s="7" t="s">
        <v>73</v>
      </c>
      <c r="D73" s="7"/>
      <c r="E73" s="13">
        <v>47</v>
      </c>
      <c r="F73" s="13">
        <v>47</v>
      </c>
      <c r="G73" s="13">
        <v>47</v>
      </c>
      <c r="H73" s="13">
        <v>47</v>
      </c>
      <c r="I73" s="13">
        <v>47</v>
      </c>
      <c r="J73" s="13">
        <v>47</v>
      </c>
      <c r="K73" s="13">
        <v>47</v>
      </c>
      <c r="L73" s="13">
        <v>47</v>
      </c>
      <c r="M73" s="13">
        <v>47</v>
      </c>
      <c r="N73" s="13">
        <v>47</v>
      </c>
      <c r="O73" s="13">
        <v>47</v>
      </c>
      <c r="P73" s="13">
        <v>47</v>
      </c>
      <c r="Q73" s="16"/>
      <c r="S73" s="28"/>
      <c r="T73" s="28"/>
      <c r="U73" s="28"/>
      <c r="V73" s="13">
        <v>540.5</v>
      </c>
      <c r="W73" s="13">
        <v>540.5</v>
      </c>
      <c r="X73" s="13">
        <v>540.5</v>
      </c>
      <c r="Y73" s="13">
        <v>540.5</v>
      </c>
      <c r="Z73" s="47" t="s">
        <v>4</v>
      </c>
    </row>
    <row r="74" spans="1:28" ht="18.75" customHeight="1" x14ac:dyDescent="0.45">
      <c r="A74" s="11">
        <v>5213782466</v>
      </c>
      <c r="B74" s="11"/>
      <c r="C74" s="7" t="s">
        <v>74</v>
      </c>
      <c r="D74" s="7"/>
      <c r="E74" s="13">
        <v>1910</v>
      </c>
      <c r="F74" s="13">
        <v>1910</v>
      </c>
      <c r="G74" s="13">
        <v>1910</v>
      </c>
      <c r="H74" s="13">
        <v>1910</v>
      </c>
      <c r="I74" s="13">
        <v>1910</v>
      </c>
      <c r="J74" s="20">
        <v>1910</v>
      </c>
      <c r="K74" s="20">
        <v>1910</v>
      </c>
      <c r="L74" s="13">
        <v>1910</v>
      </c>
      <c r="M74" s="13">
        <v>1910</v>
      </c>
      <c r="N74" s="13">
        <v>1910</v>
      </c>
      <c r="O74" s="13">
        <v>1910</v>
      </c>
      <c r="P74" s="13">
        <v>1910</v>
      </c>
      <c r="Q74" s="39">
        <f>P74*1.15</f>
        <v>2196.5</v>
      </c>
      <c r="R74" s="13">
        <f t="shared" ref="R74:AA77" si="11">Q74</f>
        <v>2196.5</v>
      </c>
      <c r="S74" s="13">
        <f t="shared" si="11"/>
        <v>2196.5</v>
      </c>
      <c r="T74" s="13">
        <f t="shared" si="11"/>
        <v>2196.5</v>
      </c>
      <c r="U74" s="13">
        <f t="shared" si="11"/>
        <v>2196.5</v>
      </c>
      <c r="V74" s="13">
        <f t="shared" si="11"/>
        <v>2196.5</v>
      </c>
      <c r="W74" s="13">
        <f t="shared" si="11"/>
        <v>2196.5</v>
      </c>
      <c r="X74" s="13">
        <f t="shared" si="11"/>
        <v>2196.5</v>
      </c>
      <c r="Y74" s="13">
        <f t="shared" si="11"/>
        <v>2196.5</v>
      </c>
      <c r="Z74" s="13">
        <f t="shared" si="11"/>
        <v>2196.5</v>
      </c>
      <c r="AA74" s="47" t="s">
        <v>4</v>
      </c>
    </row>
    <row r="75" spans="1:28" ht="18.75" customHeight="1" x14ac:dyDescent="0.45">
      <c r="A75" s="11">
        <v>9452222181</v>
      </c>
      <c r="B75" s="11"/>
      <c r="C75" s="7" t="s">
        <v>75</v>
      </c>
      <c r="D75" s="7"/>
      <c r="E75" s="13">
        <v>625</v>
      </c>
      <c r="F75" s="13">
        <v>625</v>
      </c>
      <c r="G75" s="13">
        <f>625/2</f>
        <v>312.5</v>
      </c>
      <c r="H75" s="13">
        <v>625</v>
      </c>
      <c r="I75" s="22">
        <f>625/2</f>
        <v>312.5</v>
      </c>
      <c r="J75" s="20">
        <v>625</v>
      </c>
      <c r="K75" s="20">
        <v>625</v>
      </c>
      <c r="L75" s="13">
        <v>625</v>
      </c>
      <c r="M75" s="13">
        <v>625</v>
      </c>
      <c r="N75" s="13">
        <v>625</v>
      </c>
      <c r="O75" s="13">
        <v>625</v>
      </c>
      <c r="P75" s="13">
        <v>625</v>
      </c>
      <c r="Q75" s="13">
        <v>625</v>
      </c>
      <c r="R75" s="32">
        <f>PRODUCT(Q75*1.15)</f>
        <v>718.75</v>
      </c>
      <c r="S75" s="13">
        <f t="shared" si="11"/>
        <v>718.75</v>
      </c>
      <c r="T75" s="13">
        <f t="shared" si="11"/>
        <v>718.75</v>
      </c>
      <c r="U75" s="13">
        <f t="shared" si="11"/>
        <v>718.75</v>
      </c>
      <c r="V75" s="13">
        <f t="shared" si="11"/>
        <v>718.75</v>
      </c>
      <c r="W75" s="13">
        <f t="shared" si="11"/>
        <v>718.75</v>
      </c>
      <c r="X75" s="13">
        <f t="shared" si="11"/>
        <v>718.75</v>
      </c>
      <c r="Y75" s="13">
        <f t="shared" si="11"/>
        <v>718.75</v>
      </c>
      <c r="Z75" s="13">
        <f t="shared" si="11"/>
        <v>718.75</v>
      </c>
      <c r="AA75" s="47" t="s">
        <v>4</v>
      </c>
    </row>
    <row r="76" spans="1:28" ht="18.75" customHeight="1" x14ac:dyDescent="0.45">
      <c r="A76" s="11">
        <v>6751504715</v>
      </c>
      <c r="B76" s="11"/>
      <c r="C76" s="7" t="s">
        <v>76</v>
      </c>
      <c r="D76" s="7"/>
      <c r="E76" s="13">
        <v>1450</v>
      </c>
      <c r="F76" s="13">
        <v>1450</v>
      </c>
      <c r="G76" s="13">
        <v>1450</v>
      </c>
      <c r="H76" s="13">
        <v>1450</v>
      </c>
      <c r="I76" s="13">
        <v>1450</v>
      </c>
      <c r="J76" s="13">
        <v>1450</v>
      </c>
      <c r="K76" s="13">
        <v>1450</v>
      </c>
      <c r="L76" s="13">
        <v>1450</v>
      </c>
      <c r="M76" s="13">
        <v>1450</v>
      </c>
      <c r="N76" s="13">
        <v>1450</v>
      </c>
      <c r="O76" s="13">
        <v>1450</v>
      </c>
      <c r="P76" s="13">
        <v>1450</v>
      </c>
      <c r="Q76" s="13">
        <v>1450</v>
      </c>
      <c r="R76" s="32">
        <f>PRODUCT(Q76*1.15)</f>
        <v>1667.4999999999998</v>
      </c>
      <c r="S76" s="13">
        <f t="shared" si="11"/>
        <v>1667.4999999999998</v>
      </c>
      <c r="T76" s="13">
        <f t="shared" si="11"/>
        <v>1667.4999999999998</v>
      </c>
      <c r="U76" s="13">
        <f t="shared" si="11"/>
        <v>1667.4999999999998</v>
      </c>
      <c r="V76" s="13">
        <f t="shared" si="11"/>
        <v>1667.4999999999998</v>
      </c>
      <c r="W76" s="13">
        <f t="shared" si="11"/>
        <v>1667.4999999999998</v>
      </c>
      <c r="X76" s="13">
        <f t="shared" si="11"/>
        <v>1667.4999999999998</v>
      </c>
      <c r="Y76" s="13">
        <f t="shared" si="11"/>
        <v>1667.4999999999998</v>
      </c>
      <c r="Z76" s="13">
        <f t="shared" si="11"/>
        <v>1667.4999999999998</v>
      </c>
      <c r="AA76" s="48" t="s">
        <v>4</v>
      </c>
    </row>
    <row r="77" spans="1:28" ht="18.5" x14ac:dyDescent="0.45">
      <c r="A77" s="7">
        <v>8581700110</v>
      </c>
      <c r="B77" s="7">
        <v>944</v>
      </c>
      <c r="C77" s="7" t="s">
        <v>77</v>
      </c>
      <c r="D77" s="7"/>
      <c r="T77" s="13">
        <v>906.5</v>
      </c>
      <c r="U77" s="13">
        <f t="shared" si="11"/>
        <v>906.5</v>
      </c>
      <c r="V77" s="13">
        <f t="shared" si="11"/>
        <v>906.5</v>
      </c>
      <c r="W77" s="13">
        <f t="shared" si="11"/>
        <v>906.5</v>
      </c>
      <c r="X77" s="49">
        <f t="shared" si="11"/>
        <v>906.5</v>
      </c>
      <c r="Y77" s="49">
        <f t="shared" si="11"/>
        <v>906.5</v>
      </c>
      <c r="Z77" s="49">
        <f t="shared" si="11"/>
        <v>906.5</v>
      </c>
      <c r="AA77" s="49">
        <f t="shared" si="11"/>
        <v>906.5</v>
      </c>
      <c r="AB77" s="19" t="s">
        <v>4</v>
      </c>
    </row>
    <row r="78" spans="1:28" ht="15.75" customHeight="1" x14ac:dyDescent="0.45">
      <c r="A78" s="11">
        <v>6831994093</v>
      </c>
      <c r="B78" s="7"/>
      <c r="C78" s="7" t="s">
        <v>78</v>
      </c>
      <c r="D78" s="7"/>
      <c r="E78" s="13">
        <f>1067*0.8</f>
        <v>853.6</v>
      </c>
      <c r="F78" s="13">
        <v>1067</v>
      </c>
      <c r="G78" s="13">
        <v>1067</v>
      </c>
      <c r="H78" s="13">
        <v>1067</v>
      </c>
      <c r="I78" s="13">
        <v>1067</v>
      </c>
      <c r="J78" s="13">
        <v>1067</v>
      </c>
      <c r="K78" s="13">
        <v>1067</v>
      </c>
      <c r="L78" s="13">
        <v>1067</v>
      </c>
      <c r="M78" s="13">
        <v>1067</v>
      </c>
      <c r="N78" s="13">
        <v>1067</v>
      </c>
      <c r="O78" s="13">
        <v>1067</v>
      </c>
      <c r="P78" s="13">
        <v>1067</v>
      </c>
      <c r="Q78" s="13">
        <v>1067</v>
      </c>
      <c r="R78" s="13">
        <v>1067</v>
      </c>
      <c r="S78" s="13">
        <v>1067</v>
      </c>
      <c r="T78" s="13">
        <f t="shared" ref="T78:AA80" si="12">S78</f>
        <v>1067</v>
      </c>
      <c r="U78" s="13">
        <f t="shared" si="12"/>
        <v>1067</v>
      </c>
      <c r="V78" s="13">
        <f t="shared" si="12"/>
        <v>1067</v>
      </c>
      <c r="W78" s="13">
        <f t="shared" si="12"/>
        <v>1067</v>
      </c>
      <c r="X78" s="13">
        <f t="shared" si="12"/>
        <v>1067</v>
      </c>
      <c r="Y78" s="50" t="s">
        <v>4</v>
      </c>
      <c r="Z78" s="51"/>
    </row>
    <row r="79" spans="1:28" ht="18.75" customHeight="1" x14ac:dyDescent="0.45">
      <c r="A79" s="11">
        <v>6772450723</v>
      </c>
      <c r="B79" s="11">
        <v>416</v>
      </c>
      <c r="C79" s="43" t="s">
        <v>79</v>
      </c>
      <c r="D79" s="43"/>
      <c r="E79" s="13">
        <v>250</v>
      </c>
      <c r="F79" s="13">
        <v>250</v>
      </c>
      <c r="G79" s="13">
        <v>250</v>
      </c>
      <c r="H79" s="13">
        <v>250</v>
      </c>
      <c r="I79" s="13">
        <v>250</v>
      </c>
      <c r="J79" s="20">
        <v>250</v>
      </c>
      <c r="K79" s="20">
        <v>250</v>
      </c>
      <c r="L79" s="13">
        <v>250</v>
      </c>
      <c r="M79" s="13">
        <v>250</v>
      </c>
      <c r="N79" s="13">
        <v>250</v>
      </c>
      <c r="O79" s="13">
        <v>250</v>
      </c>
      <c r="P79" s="13">
        <v>250</v>
      </c>
      <c r="Q79" s="13">
        <v>250</v>
      </c>
      <c r="R79" s="32">
        <f>PRODUCT(Q79*1.15)</f>
        <v>287.5</v>
      </c>
      <c r="S79" s="13">
        <f>R79</f>
        <v>287.5</v>
      </c>
      <c r="T79" s="13">
        <f t="shared" si="12"/>
        <v>287.5</v>
      </c>
      <c r="U79" s="13">
        <f t="shared" si="12"/>
        <v>287.5</v>
      </c>
      <c r="V79" s="13">
        <f t="shared" si="12"/>
        <v>287.5</v>
      </c>
      <c r="W79" s="13">
        <f t="shared" si="12"/>
        <v>287.5</v>
      </c>
      <c r="X79" s="13">
        <f t="shared" si="12"/>
        <v>287.5</v>
      </c>
      <c r="Y79" s="13">
        <f t="shared" si="12"/>
        <v>287.5</v>
      </c>
      <c r="Z79" s="13">
        <f t="shared" si="12"/>
        <v>287.5</v>
      </c>
      <c r="AA79" s="13">
        <f t="shared" si="12"/>
        <v>287.5</v>
      </c>
      <c r="AB79" s="47" t="s">
        <v>4</v>
      </c>
    </row>
    <row r="80" spans="1:28" ht="18.75" customHeight="1" x14ac:dyDescent="0.45">
      <c r="A80" s="11">
        <v>9522076099</v>
      </c>
      <c r="B80" s="11"/>
      <c r="C80" s="7" t="s">
        <v>80</v>
      </c>
      <c r="D80" s="7"/>
      <c r="E80" s="13"/>
      <c r="F80" s="13"/>
      <c r="G80" s="13"/>
      <c r="H80" s="13"/>
      <c r="I80" s="13"/>
      <c r="J80" s="20"/>
      <c r="K80" s="20"/>
      <c r="L80" s="20"/>
      <c r="M80" s="13"/>
      <c r="N80" s="13"/>
      <c r="O80" s="13"/>
      <c r="P80" s="13"/>
      <c r="Q80" s="13"/>
      <c r="R80" s="32"/>
      <c r="S80" s="13"/>
      <c r="T80" s="13">
        <v>295</v>
      </c>
      <c r="U80" s="13">
        <f>T80</f>
        <v>295</v>
      </c>
      <c r="V80" s="13">
        <f>U80</f>
        <v>295</v>
      </c>
      <c r="W80" s="13">
        <f>V80</f>
        <v>295</v>
      </c>
      <c r="X80" s="13">
        <f>W80</f>
        <v>295</v>
      </c>
      <c r="Y80" s="13">
        <f t="shared" si="12"/>
        <v>295</v>
      </c>
      <c r="Z80" s="13">
        <f t="shared" si="12"/>
        <v>295</v>
      </c>
      <c r="AA80" s="13">
        <f t="shared" si="12"/>
        <v>295</v>
      </c>
      <c r="AB80" s="48" t="s">
        <v>4</v>
      </c>
    </row>
    <row r="81" spans="1:33" ht="18.5" x14ac:dyDescent="0.45">
      <c r="A81" s="11">
        <v>9571075450</v>
      </c>
      <c r="B81" s="11"/>
      <c r="C81" s="7" t="s">
        <v>81</v>
      </c>
      <c r="D81" s="7"/>
      <c r="E81" s="13">
        <v>1626.02</v>
      </c>
      <c r="F81" s="13">
        <v>1626.02</v>
      </c>
      <c r="G81" s="13">
        <v>1626.02</v>
      </c>
      <c r="H81" s="13">
        <v>1626.02</v>
      </c>
      <c r="I81" s="22">
        <f>1626.02+6/31*159</f>
        <v>1656.7941935483871</v>
      </c>
      <c r="J81" s="20">
        <f t="shared" ref="J81:S81" si="13">1626.02+159</f>
        <v>1785.02</v>
      </c>
      <c r="K81" s="20">
        <f t="shared" si="13"/>
        <v>1785.02</v>
      </c>
      <c r="L81" s="20">
        <f t="shared" si="13"/>
        <v>1785.02</v>
      </c>
      <c r="M81" s="13">
        <f t="shared" si="13"/>
        <v>1785.02</v>
      </c>
      <c r="N81" s="13">
        <f t="shared" si="13"/>
        <v>1785.02</v>
      </c>
      <c r="O81" s="13">
        <f t="shared" si="13"/>
        <v>1785.02</v>
      </c>
      <c r="P81" s="13">
        <f t="shared" si="13"/>
        <v>1785.02</v>
      </c>
      <c r="Q81" s="13">
        <f t="shared" si="13"/>
        <v>1785.02</v>
      </c>
      <c r="R81" s="13">
        <f t="shared" si="13"/>
        <v>1785.02</v>
      </c>
      <c r="S81" s="13">
        <f t="shared" si="13"/>
        <v>1785.02</v>
      </c>
      <c r="T81" s="13">
        <f t="shared" ref="T81:W82" si="14">S81</f>
        <v>1785.02</v>
      </c>
      <c r="U81" s="13">
        <f t="shared" si="14"/>
        <v>1785.02</v>
      </c>
      <c r="V81" s="13">
        <f t="shared" si="14"/>
        <v>1785.02</v>
      </c>
      <c r="W81" s="13">
        <f t="shared" si="14"/>
        <v>1785.02</v>
      </c>
      <c r="X81" s="19" t="s">
        <v>4</v>
      </c>
    </row>
    <row r="82" spans="1:33" ht="18.5" x14ac:dyDescent="0.45">
      <c r="A82" s="11">
        <v>9571075450</v>
      </c>
      <c r="B82" s="7">
        <v>925</v>
      </c>
      <c r="C82" s="12" t="s">
        <v>82</v>
      </c>
      <c r="D82" s="12"/>
      <c r="F82" s="1" t="s">
        <v>83</v>
      </c>
      <c r="R82" s="13">
        <v>1014.3</v>
      </c>
      <c r="S82" s="13">
        <v>1014.3</v>
      </c>
      <c r="T82" s="13">
        <f t="shared" si="14"/>
        <v>1014.3</v>
      </c>
      <c r="U82" s="13">
        <f t="shared" si="14"/>
        <v>1014.3</v>
      </c>
      <c r="V82" s="13">
        <f t="shared" si="14"/>
        <v>1014.3</v>
      </c>
      <c r="W82" s="13">
        <f t="shared" si="14"/>
        <v>1014.3</v>
      </c>
      <c r="X82" s="19" t="s">
        <v>4</v>
      </c>
    </row>
    <row r="83" spans="1:33" ht="18.75" customHeight="1" x14ac:dyDescent="0.45">
      <c r="A83" s="11">
        <v>5361922350</v>
      </c>
      <c r="B83" s="11">
        <v>335</v>
      </c>
      <c r="C83" s="7" t="s">
        <v>84</v>
      </c>
      <c r="D83" s="7"/>
      <c r="E83" s="38"/>
      <c r="F83" s="13">
        <f t="shared" ref="F83:P83" si="15">1015+349</f>
        <v>1364</v>
      </c>
      <c r="G83" s="13">
        <f t="shared" si="15"/>
        <v>1364</v>
      </c>
      <c r="H83" s="13">
        <f t="shared" si="15"/>
        <v>1364</v>
      </c>
      <c r="I83" s="13">
        <f t="shared" si="15"/>
        <v>1364</v>
      </c>
      <c r="J83" s="20">
        <f t="shared" si="15"/>
        <v>1364</v>
      </c>
      <c r="K83" s="20">
        <f t="shared" si="15"/>
        <v>1364</v>
      </c>
      <c r="L83" s="13">
        <f t="shared" si="15"/>
        <v>1364</v>
      </c>
      <c r="M83" s="13">
        <f t="shared" si="15"/>
        <v>1364</v>
      </c>
      <c r="N83" s="13">
        <f t="shared" si="15"/>
        <v>1364</v>
      </c>
      <c r="O83" s="13">
        <f t="shared" si="15"/>
        <v>1364</v>
      </c>
      <c r="P83" s="13">
        <f t="shared" si="15"/>
        <v>1364</v>
      </c>
      <c r="Q83" s="39">
        <f>P83*1.15</f>
        <v>1568.6</v>
      </c>
      <c r="R83" s="13">
        <f>Q83</f>
        <v>1568.6</v>
      </c>
      <c r="S83" s="13">
        <f>R83</f>
        <v>1568.6</v>
      </c>
      <c r="T83" s="13">
        <f>S83</f>
        <v>1568.6</v>
      </c>
      <c r="U83" s="13">
        <f>T83</f>
        <v>1568.6</v>
      </c>
      <c r="V83" s="13">
        <f>U83</f>
        <v>1568.6</v>
      </c>
      <c r="W83" s="52"/>
      <c r="X83" s="52"/>
      <c r="Y83" s="52"/>
      <c r="Z83" s="52"/>
      <c r="AA83" s="52"/>
      <c r="AB83" s="52"/>
      <c r="AC83" s="19"/>
    </row>
    <row r="84" spans="1:33" ht="18.75" customHeight="1" x14ac:dyDescent="0.45">
      <c r="A84" s="11">
        <v>8943083506</v>
      </c>
      <c r="B84" s="11">
        <v>261</v>
      </c>
      <c r="C84" s="7" t="s">
        <v>85</v>
      </c>
      <c r="D84" s="12" t="s">
        <v>86</v>
      </c>
      <c r="E84" s="13">
        <v>742.5</v>
      </c>
      <c r="F84" s="13">
        <v>742.5</v>
      </c>
      <c r="G84" s="13">
        <v>742.5</v>
      </c>
      <c r="H84" s="13">
        <v>742.5</v>
      </c>
      <c r="I84" s="13">
        <v>742.5</v>
      </c>
      <c r="J84" s="13">
        <v>742.5</v>
      </c>
      <c r="K84" s="13">
        <v>742.5</v>
      </c>
      <c r="L84" s="13">
        <v>742.5</v>
      </c>
      <c r="M84" s="13">
        <v>742.5</v>
      </c>
      <c r="N84" s="13">
        <v>742.5</v>
      </c>
      <c r="O84" s="13">
        <v>742.5</v>
      </c>
      <c r="P84" s="13">
        <v>742.5</v>
      </c>
      <c r="Q84" s="19" t="s">
        <v>4</v>
      </c>
    </row>
    <row r="85" spans="1:33" ht="19.399999999999999" customHeight="1" x14ac:dyDescent="0.45">
      <c r="A85" s="11">
        <v>6431621201</v>
      </c>
      <c r="B85" s="11">
        <v>257</v>
      </c>
      <c r="C85" s="7" t="s">
        <v>87</v>
      </c>
      <c r="D85" s="12" t="s">
        <v>88</v>
      </c>
      <c r="E85" s="13">
        <v>300</v>
      </c>
      <c r="F85" s="13">
        <v>300</v>
      </c>
      <c r="G85" s="13">
        <v>300</v>
      </c>
      <c r="H85" s="13">
        <v>300</v>
      </c>
      <c r="I85" s="13">
        <v>300</v>
      </c>
      <c r="J85" s="20">
        <v>300</v>
      </c>
      <c r="K85" s="20">
        <v>300</v>
      </c>
      <c r="L85" s="13">
        <v>300</v>
      </c>
      <c r="M85" s="13">
        <v>300</v>
      </c>
      <c r="N85" s="13">
        <v>300</v>
      </c>
      <c r="O85" s="13">
        <v>300</v>
      </c>
      <c r="P85" s="13">
        <v>300</v>
      </c>
      <c r="Q85" s="13">
        <v>300</v>
      </c>
      <c r="R85" s="30">
        <f>Q85*1.15</f>
        <v>345</v>
      </c>
      <c r="S85" s="13">
        <f t="shared" ref="S85:AC93" si="16">R85</f>
        <v>345</v>
      </c>
      <c r="T85" s="13">
        <f t="shared" si="16"/>
        <v>345</v>
      </c>
      <c r="U85" s="13">
        <f t="shared" si="16"/>
        <v>345</v>
      </c>
      <c r="V85" s="13">
        <f t="shared" si="16"/>
        <v>345</v>
      </c>
      <c r="W85" s="13">
        <f t="shared" si="16"/>
        <v>345</v>
      </c>
      <c r="X85" s="13">
        <f t="shared" si="16"/>
        <v>345</v>
      </c>
      <c r="Y85" s="13">
        <f t="shared" si="16"/>
        <v>345</v>
      </c>
      <c r="Z85" s="13">
        <f t="shared" si="16"/>
        <v>345</v>
      </c>
      <c r="AA85" s="13">
        <f t="shared" si="16"/>
        <v>345</v>
      </c>
      <c r="AB85" s="31">
        <f t="shared" si="16"/>
        <v>345</v>
      </c>
      <c r="AC85" s="53" t="s">
        <v>4</v>
      </c>
    </row>
    <row r="86" spans="1:33" ht="18.75" customHeight="1" x14ac:dyDescent="0.45">
      <c r="A86" s="11">
        <v>7492088894</v>
      </c>
      <c r="B86" s="7">
        <v>593</v>
      </c>
      <c r="C86" s="7" t="s">
        <v>89</v>
      </c>
      <c r="D86" s="12" t="s">
        <v>90</v>
      </c>
      <c r="E86" s="13">
        <v>1300</v>
      </c>
      <c r="F86" s="13">
        <v>1300</v>
      </c>
      <c r="G86" s="13">
        <v>1300</v>
      </c>
      <c r="H86" s="13">
        <v>1300</v>
      </c>
      <c r="I86" s="13">
        <v>1300</v>
      </c>
      <c r="J86" s="20">
        <v>1300</v>
      </c>
      <c r="K86" s="20">
        <v>1300</v>
      </c>
      <c r="L86" s="20">
        <v>1300</v>
      </c>
      <c r="M86" s="13">
        <v>1300</v>
      </c>
      <c r="N86" s="13">
        <v>1300</v>
      </c>
      <c r="O86" s="13">
        <v>1300</v>
      </c>
      <c r="P86" s="13">
        <v>1300</v>
      </c>
      <c r="Q86" s="13">
        <v>1300</v>
      </c>
      <c r="R86" s="30">
        <f>Q86*1.15</f>
        <v>1494.9999999999998</v>
      </c>
      <c r="S86" s="13">
        <f t="shared" si="16"/>
        <v>1494.9999999999998</v>
      </c>
      <c r="T86" s="13">
        <f t="shared" si="16"/>
        <v>1494.9999999999998</v>
      </c>
      <c r="U86" s="13">
        <f t="shared" si="16"/>
        <v>1494.9999999999998</v>
      </c>
      <c r="V86" s="13">
        <f t="shared" si="16"/>
        <v>1494.9999999999998</v>
      </c>
      <c r="W86" s="13">
        <f t="shared" si="16"/>
        <v>1494.9999999999998</v>
      </c>
      <c r="X86" s="13">
        <f t="shared" si="16"/>
        <v>1494.9999999999998</v>
      </c>
      <c r="Y86" s="13">
        <f t="shared" si="16"/>
        <v>1494.9999999999998</v>
      </c>
      <c r="Z86" s="13">
        <f t="shared" si="16"/>
        <v>1494.9999999999998</v>
      </c>
      <c r="AA86" s="13">
        <f t="shared" si="16"/>
        <v>1494.9999999999998</v>
      </c>
      <c r="AB86" s="31">
        <f t="shared" si="16"/>
        <v>1494.9999999999998</v>
      </c>
      <c r="AC86" s="19" t="s">
        <v>4</v>
      </c>
    </row>
    <row r="87" spans="1:33" ht="15.75" customHeight="1" x14ac:dyDescent="0.45">
      <c r="A87" s="11">
        <v>5262813327</v>
      </c>
      <c r="B87" s="7">
        <v>735</v>
      </c>
      <c r="C87" s="7" t="s">
        <v>91</v>
      </c>
      <c r="D87" s="7" t="s">
        <v>92</v>
      </c>
      <c r="E87" s="13">
        <v>813</v>
      </c>
      <c r="F87" s="13">
        <v>813</v>
      </c>
      <c r="G87" s="13">
        <v>813</v>
      </c>
      <c r="H87" s="13">
        <v>813</v>
      </c>
      <c r="I87" s="13">
        <v>813</v>
      </c>
      <c r="J87" s="20">
        <v>813</v>
      </c>
      <c r="K87" s="20">
        <v>813</v>
      </c>
      <c r="L87" s="20">
        <v>813</v>
      </c>
      <c r="M87" s="13">
        <v>813</v>
      </c>
      <c r="N87" s="13">
        <v>813</v>
      </c>
      <c r="O87" s="13">
        <v>813</v>
      </c>
      <c r="P87" s="13">
        <v>813</v>
      </c>
      <c r="Q87" s="13">
        <v>813</v>
      </c>
      <c r="R87" s="13">
        <v>813</v>
      </c>
      <c r="S87" s="13">
        <v>813</v>
      </c>
      <c r="T87" s="13">
        <f t="shared" si="16"/>
        <v>813</v>
      </c>
      <c r="U87" s="13">
        <f t="shared" si="16"/>
        <v>813</v>
      </c>
      <c r="V87" s="13">
        <f t="shared" si="16"/>
        <v>813</v>
      </c>
      <c r="W87" s="13">
        <f t="shared" si="16"/>
        <v>813</v>
      </c>
      <c r="X87" s="13">
        <f t="shared" si="16"/>
        <v>813</v>
      </c>
      <c r="Y87" s="13">
        <f t="shared" si="16"/>
        <v>813</v>
      </c>
      <c r="Z87" s="13">
        <f t="shared" si="16"/>
        <v>813</v>
      </c>
      <c r="AA87" s="13">
        <f t="shared" si="16"/>
        <v>813</v>
      </c>
      <c r="AB87" s="13">
        <f t="shared" si="16"/>
        <v>813</v>
      </c>
      <c r="AC87" s="47" t="s">
        <v>4</v>
      </c>
      <c r="AD87" s="54"/>
    </row>
    <row r="88" spans="1:33" ht="15.75" customHeight="1" x14ac:dyDescent="0.45">
      <c r="A88" s="11">
        <v>9222695757</v>
      </c>
      <c r="B88" s="11"/>
      <c r="C88" s="7" t="s">
        <v>93</v>
      </c>
      <c r="D88" s="7" t="s">
        <v>94</v>
      </c>
      <c r="E88" s="13">
        <f>3/31*600+28/31*800</f>
        <v>780.64516129032245</v>
      </c>
      <c r="F88" s="13">
        <v>800</v>
      </c>
      <c r="G88" s="13">
        <v>800</v>
      </c>
      <c r="H88" s="13">
        <v>800</v>
      </c>
      <c r="I88" s="13">
        <v>800</v>
      </c>
      <c r="J88" s="20">
        <v>800</v>
      </c>
      <c r="K88" s="20">
        <v>800</v>
      </c>
      <c r="L88" s="20">
        <v>800</v>
      </c>
      <c r="M88" s="13">
        <v>800</v>
      </c>
      <c r="N88" s="13">
        <v>800</v>
      </c>
      <c r="O88" s="13">
        <v>800</v>
      </c>
      <c r="P88" s="13">
        <v>800</v>
      </c>
      <c r="Q88" s="13">
        <v>800</v>
      </c>
      <c r="R88" s="13">
        <v>800</v>
      </c>
      <c r="S88" s="13">
        <f t="shared" ref="S88:S93" si="17">R88</f>
        <v>800</v>
      </c>
      <c r="T88" s="13">
        <f t="shared" si="16"/>
        <v>800</v>
      </c>
      <c r="U88" s="13">
        <f t="shared" si="16"/>
        <v>800</v>
      </c>
      <c r="V88" s="13">
        <f t="shared" si="16"/>
        <v>800</v>
      </c>
      <c r="W88" s="13">
        <f t="shared" si="16"/>
        <v>800</v>
      </c>
      <c r="X88" s="13">
        <f t="shared" si="16"/>
        <v>800</v>
      </c>
      <c r="Y88" s="13">
        <f t="shared" si="16"/>
        <v>800</v>
      </c>
      <c r="Z88" s="13">
        <f t="shared" si="16"/>
        <v>800</v>
      </c>
      <c r="AA88" s="13">
        <f t="shared" si="16"/>
        <v>800</v>
      </c>
      <c r="AB88" s="31">
        <f t="shared" si="16"/>
        <v>800</v>
      </c>
      <c r="AC88" s="19" t="s">
        <v>4</v>
      </c>
    </row>
    <row r="89" spans="1:33" ht="15.75" customHeight="1" x14ac:dyDescent="0.45">
      <c r="A89" s="11">
        <v>7011106763</v>
      </c>
      <c r="B89" s="7">
        <v>922</v>
      </c>
      <c r="C89" s="7" t="s">
        <v>95</v>
      </c>
      <c r="D89" s="7" t="s">
        <v>96</v>
      </c>
      <c r="P89" s="13">
        <f>23/31*1135.43</f>
        <v>842.41580645161298</v>
      </c>
      <c r="Q89" s="13">
        <v>1135.43</v>
      </c>
      <c r="R89" s="13">
        <v>1135.43</v>
      </c>
      <c r="S89" s="13">
        <f t="shared" si="17"/>
        <v>1135.43</v>
      </c>
      <c r="T89" s="13">
        <f>S89</f>
        <v>1135.43</v>
      </c>
      <c r="U89" s="55">
        <f>T89+169</f>
        <v>1304.43</v>
      </c>
      <c r="V89" s="13">
        <f t="shared" si="16"/>
        <v>1304.43</v>
      </c>
      <c r="W89" s="13">
        <f t="shared" si="16"/>
        <v>1304.43</v>
      </c>
      <c r="X89" s="13">
        <f t="shared" si="16"/>
        <v>1304.43</v>
      </c>
      <c r="Y89" s="13">
        <f t="shared" si="16"/>
        <v>1304.43</v>
      </c>
      <c r="Z89" s="13">
        <f t="shared" si="16"/>
        <v>1304.43</v>
      </c>
      <c r="AA89" s="13">
        <f t="shared" si="16"/>
        <v>1304.43</v>
      </c>
      <c r="AB89" s="31">
        <f t="shared" si="16"/>
        <v>1304.43</v>
      </c>
      <c r="AC89" s="31">
        <f t="shared" si="16"/>
        <v>1304.43</v>
      </c>
      <c r="AD89" s="19" t="s">
        <v>4</v>
      </c>
      <c r="AE89" s="19" t="s">
        <v>4</v>
      </c>
    </row>
    <row r="90" spans="1:33" ht="15.75" customHeight="1" x14ac:dyDescent="0.45">
      <c r="A90" s="11">
        <v>7262648898</v>
      </c>
      <c r="B90" s="7">
        <v>785</v>
      </c>
      <c r="C90" s="7" t="s">
        <v>97</v>
      </c>
      <c r="D90" s="7" t="s">
        <v>98</v>
      </c>
      <c r="F90" s="13">
        <f>6/28*990.4</f>
        <v>212.2285714285714</v>
      </c>
      <c r="G90" s="13">
        <v>990.4</v>
      </c>
      <c r="H90" s="13">
        <v>990.4</v>
      </c>
      <c r="I90" s="13">
        <v>990.4</v>
      </c>
      <c r="J90" s="13">
        <v>990.4</v>
      </c>
      <c r="K90" s="13">
        <v>990.4</v>
      </c>
      <c r="L90" s="13">
        <v>990.4</v>
      </c>
      <c r="M90" s="13">
        <v>990.4</v>
      </c>
      <c r="N90" s="13">
        <v>990.4</v>
      </c>
      <c r="O90" s="13">
        <v>990.4</v>
      </c>
      <c r="P90" s="13">
        <v>990.4</v>
      </c>
      <c r="Q90" s="13">
        <v>990.4</v>
      </c>
      <c r="R90" s="32">
        <f>PRODUCT(Q90*1.15)</f>
        <v>1138.9599999999998</v>
      </c>
      <c r="S90" s="13">
        <f t="shared" si="17"/>
        <v>1138.9599999999998</v>
      </c>
      <c r="T90" s="13">
        <f>S90</f>
        <v>1138.9599999999998</v>
      </c>
      <c r="U90" s="13">
        <f>T90</f>
        <v>1138.9599999999998</v>
      </c>
      <c r="V90" s="13">
        <f t="shared" si="16"/>
        <v>1138.9599999999998</v>
      </c>
      <c r="W90" s="13">
        <f t="shared" si="16"/>
        <v>1138.9599999999998</v>
      </c>
      <c r="X90" s="13">
        <f t="shared" si="16"/>
        <v>1138.9599999999998</v>
      </c>
      <c r="Y90" s="13">
        <f t="shared" si="16"/>
        <v>1138.9599999999998</v>
      </c>
      <c r="Z90" s="13">
        <f t="shared" si="16"/>
        <v>1138.9599999999998</v>
      </c>
      <c r="AA90" s="13">
        <f t="shared" si="16"/>
        <v>1138.9599999999998</v>
      </c>
      <c r="AB90" s="31">
        <f t="shared" si="16"/>
        <v>1138.9599999999998</v>
      </c>
      <c r="AC90" s="31">
        <f t="shared" si="16"/>
        <v>1138.9599999999998</v>
      </c>
      <c r="AD90" s="31">
        <f>AC90</f>
        <v>1138.9599999999998</v>
      </c>
      <c r="AE90" s="47" t="s">
        <v>4</v>
      </c>
      <c r="AF90" s="47" t="s">
        <v>4</v>
      </c>
    </row>
    <row r="91" spans="1:33" ht="18.75" customHeight="1" x14ac:dyDescent="0.45">
      <c r="A91" s="11">
        <v>5213095056</v>
      </c>
      <c r="B91" s="11">
        <v>39</v>
      </c>
      <c r="C91" s="7" t="s">
        <v>99</v>
      </c>
      <c r="D91" s="12" t="s">
        <v>100</v>
      </c>
      <c r="E91" s="13">
        <v>1400</v>
      </c>
      <c r="F91" s="13">
        <v>1400</v>
      </c>
      <c r="G91" s="13">
        <v>1400</v>
      </c>
      <c r="H91" s="13">
        <v>1400</v>
      </c>
      <c r="I91" s="13">
        <v>1400</v>
      </c>
      <c r="J91" s="20">
        <v>1400</v>
      </c>
      <c r="K91" s="20">
        <v>1400</v>
      </c>
      <c r="L91" s="20">
        <v>1400</v>
      </c>
      <c r="M91" s="20">
        <v>1400</v>
      </c>
      <c r="N91" s="13">
        <v>1400</v>
      </c>
      <c r="O91" s="13">
        <v>1400</v>
      </c>
      <c r="P91" s="13">
        <v>1400</v>
      </c>
      <c r="Q91" s="13">
        <v>1400</v>
      </c>
      <c r="R91" s="13">
        <v>1400</v>
      </c>
      <c r="S91" s="31">
        <f t="shared" si="17"/>
        <v>1400</v>
      </c>
      <c r="T91" s="31">
        <f>S91</f>
        <v>1400</v>
      </c>
      <c r="U91" s="31">
        <f>T91</f>
        <v>1400</v>
      </c>
      <c r="V91" s="31">
        <f t="shared" si="16"/>
        <v>1400</v>
      </c>
      <c r="W91" s="31">
        <f t="shared" si="16"/>
        <v>1400</v>
      </c>
      <c r="X91" s="31">
        <f t="shared" si="16"/>
        <v>1400</v>
      </c>
      <c r="Y91" s="31">
        <f t="shared" si="16"/>
        <v>1400</v>
      </c>
      <c r="Z91" s="31">
        <f t="shared" si="16"/>
        <v>1400</v>
      </c>
      <c r="AA91" s="31">
        <f t="shared" si="16"/>
        <v>1400</v>
      </c>
      <c r="AB91" s="31">
        <f t="shared" si="16"/>
        <v>1400</v>
      </c>
      <c r="AC91" s="31">
        <f t="shared" si="16"/>
        <v>1400</v>
      </c>
      <c r="AD91" s="31">
        <f>AC91</f>
        <v>1400</v>
      </c>
      <c r="AE91" s="31">
        <f>AD91</f>
        <v>1400</v>
      </c>
      <c r="AF91" s="47" t="s">
        <v>4</v>
      </c>
      <c r="AG91" s="47" t="s">
        <v>4</v>
      </c>
    </row>
    <row r="92" spans="1:33" ht="18.75" customHeight="1" x14ac:dyDescent="0.45">
      <c r="A92" s="11">
        <v>5222999260</v>
      </c>
      <c r="B92" s="11">
        <v>336</v>
      </c>
      <c r="C92" s="43" t="s">
        <v>101</v>
      </c>
      <c r="D92" s="12" t="s">
        <v>102</v>
      </c>
      <c r="E92" s="13">
        <v>623</v>
      </c>
      <c r="F92" s="13">
        <v>623</v>
      </c>
      <c r="G92" s="13">
        <v>623</v>
      </c>
      <c r="H92" s="13">
        <v>623</v>
      </c>
      <c r="I92" s="13">
        <v>623</v>
      </c>
      <c r="J92" s="20">
        <v>623</v>
      </c>
      <c r="K92" s="20">
        <v>623</v>
      </c>
      <c r="L92" s="13">
        <v>623</v>
      </c>
      <c r="M92" s="13">
        <v>623</v>
      </c>
      <c r="N92" s="13">
        <v>623</v>
      </c>
      <c r="O92" s="13">
        <v>623</v>
      </c>
      <c r="P92" s="13">
        <v>623</v>
      </c>
      <c r="Q92" s="13">
        <v>623</v>
      </c>
      <c r="R92" s="32">
        <f>PRODUCT(Q92*1.15)</f>
        <v>716.44999999999993</v>
      </c>
      <c r="S92" s="13">
        <f t="shared" si="17"/>
        <v>716.44999999999993</v>
      </c>
      <c r="T92" s="13">
        <f>S92</f>
        <v>716.44999999999993</v>
      </c>
      <c r="U92" s="13">
        <f>T92</f>
        <v>716.44999999999993</v>
      </c>
      <c r="V92" s="13">
        <f t="shared" si="16"/>
        <v>716.44999999999993</v>
      </c>
      <c r="W92" s="13">
        <f t="shared" si="16"/>
        <v>716.44999999999993</v>
      </c>
      <c r="X92" s="13">
        <f t="shared" si="16"/>
        <v>716.44999999999993</v>
      </c>
      <c r="Y92" s="13">
        <f t="shared" si="16"/>
        <v>716.44999999999993</v>
      </c>
      <c r="Z92" s="13">
        <f t="shared" si="16"/>
        <v>716.44999999999993</v>
      </c>
      <c r="AA92" s="55">
        <f>Z92+318</f>
        <v>1034.4499999999998</v>
      </c>
      <c r="AB92" s="31">
        <f>AA92</f>
        <v>1034.4499999999998</v>
      </c>
      <c r="AC92" s="56">
        <v>716.45</v>
      </c>
      <c r="AD92" s="31">
        <v>716.45</v>
      </c>
      <c r="AE92" s="19" t="s">
        <v>4</v>
      </c>
    </row>
    <row r="93" spans="1:33" ht="30.65" customHeight="1" x14ac:dyDescent="0.45">
      <c r="A93" s="11">
        <v>9721190768</v>
      </c>
      <c r="B93" s="7">
        <v>942</v>
      </c>
      <c r="C93" s="43" t="s">
        <v>103</v>
      </c>
      <c r="D93" s="12" t="s">
        <v>104</v>
      </c>
      <c r="Q93" s="20">
        <f>12/31*1602</f>
        <v>620.12903225806451</v>
      </c>
      <c r="R93" s="20">
        <f>1602</f>
        <v>1602</v>
      </c>
      <c r="S93" s="13">
        <f t="shared" si="17"/>
        <v>1602</v>
      </c>
      <c r="T93" s="13">
        <f>S93</f>
        <v>1602</v>
      </c>
      <c r="U93" s="13">
        <f>T93</f>
        <v>1602</v>
      </c>
      <c r="V93" s="13">
        <f t="shared" si="16"/>
        <v>1602</v>
      </c>
      <c r="W93" s="13">
        <f t="shared" si="16"/>
        <v>1602</v>
      </c>
      <c r="X93" s="13">
        <f t="shared" si="16"/>
        <v>1602</v>
      </c>
      <c r="Y93" s="13">
        <f t="shared" si="16"/>
        <v>1602</v>
      </c>
      <c r="Z93" s="13">
        <f t="shared" si="16"/>
        <v>1602</v>
      </c>
      <c r="AA93" s="13">
        <f>Z93</f>
        <v>1602</v>
      </c>
      <c r="AB93" s="49">
        <f>AA93</f>
        <v>1602</v>
      </c>
      <c r="AC93" s="49">
        <f t="shared" ref="AC93:AD96" si="18">AB93</f>
        <v>1602</v>
      </c>
      <c r="AD93" s="49">
        <f t="shared" si="18"/>
        <v>1602</v>
      </c>
      <c r="AE93" s="19" t="s">
        <v>4</v>
      </c>
    </row>
    <row r="94" spans="1:33" ht="18.5" x14ac:dyDescent="0.45">
      <c r="A94" s="11">
        <v>6783144467</v>
      </c>
      <c r="B94" s="11"/>
      <c r="C94" s="7" t="s">
        <v>105</v>
      </c>
      <c r="D94" s="12" t="s">
        <v>106</v>
      </c>
      <c r="Q94" s="16"/>
      <c r="Y94" s="13">
        <f>13/30*1465</f>
        <v>634.83333333333337</v>
      </c>
      <c r="Z94" s="13">
        <v>1465</v>
      </c>
      <c r="AA94" s="13">
        <v>1465</v>
      </c>
      <c r="AB94" s="57">
        <f>AA94</f>
        <v>1465</v>
      </c>
      <c r="AC94" s="57">
        <f t="shared" si="18"/>
        <v>1465</v>
      </c>
      <c r="AD94" s="57">
        <f t="shared" si="18"/>
        <v>1465</v>
      </c>
      <c r="AE94" s="47" t="s">
        <v>4</v>
      </c>
      <c r="AF94" s="58"/>
      <c r="AG94" s="58"/>
    </row>
    <row r="95" spans="1:33" ht="18.5" x14ac:dyDescent="0.45">
      <c r="A95" s="11">
        <v>9141566659</v>
      </c>
      <c r="B95" s="11"/>
      <c r="C95" s="7" t="s">
        <v>107</v>
      </c>
      <c r="D95" s="12" t="s">
        <v>108</v>
      </c>
      <c r="E95" s="13">
        <v>960.3</v>
      </c>
      <c r="F95" s="13">
        <v>960.3</v>
      </c>
      <c r="G95" s="13">
        <f t="shared" ref="G95:Q95" si="19">960.3+159</f>
        <v>1119.3</v>
      </c>
      <c r="H95" s="13">
        <f t="shared" si="19"/>
        <v>1119.3</v>
      </c>
      <c r="I95" s="13">
        <f t="shared" si="19"/>
        <v>1119.3</v>
      </c>
      <c r="J95" s="20">
        <f t="shared" si="19"/>
        <v>1119.3</v>
      </c>
      <c r="K95" s="20">
        <f t="shared" si="19"/>
        <v>1119.3</v>
      </c>
      <c r="L95" s="20">
        <f t="shared" si="19"/>
        <v>1119.3</v>
      </c>
      <c r="M95" s="13">
        <f t="shared" si="19"/>
        <v>1119.3</v>
      </c>
      <c r="N95" s="13">
        <f t="shared" si="19"/>
        <v>1119.3</v>
      </c>
      <c r="O95" s="13">
        <f t="shared" si="19"/>
        <v>1119.3</v>
      </c>
      <c r="P95" s="13">
        <f t="shared" si="19"/>
        <v>1119.3</v>
      </c>
      <c r="Q95" s="13">
        <f t="shared" si="19"/>
        <v>1119.3</v>
      </c>
      <c r="R95" s="30">
        <f>PRODUCT(Q95*1.15)</f>
        <v>1287.1949999999999</v>
      </c>
      <c r="S95" s="13">
        <f t="shared" ref="S95:AA96" si="20">R95</f>
        <v>1287.1949999999999</v>
      </c>
      <c r="T95" s="13">
        <f t="shared" si="20"/>
        <v>1287.1949999999999</v>
      </c>
      <c r="U95" s="13">
        <f t="shared" si="20"/>
        <v>1287.1949999999999</v>
      </c>
      <c r="V95" s="13">
        <f t="shared" si="20"/>
        <v>1287.1949999999999</v>
      </c>
      <c r="W95" s="13">
        <f t="shared" si="20"/>
        <v>1287.1949999999999</v>
      </c>
      <c r="X95" s="13">
        <f t="shared" si="20"/>
        <v>1287.1949999999999</v>
      </c>
      <c r="Y95" s="13">
        <f t="shared" si="20"/>
        <v>1287.1949999999999</v>
      </c>
      <c r="Z95" s="13">
        <f t="shared" si="20"/>
        <v>1287.1949999999999</v>
      </c>
      <c r="AA95" s="13">
        <f t="shared" si="20"/>
        <v>1287.1949999999999</v>
      </c>
      <c r="AB95" s="31">
        <f>AA95</f>
        <v>1287.1949999999999</v>
      </c>
      <c r="AC95" s="31">
        <f t="shared" si="18"/>
        <v>1287.1949999999999</v>
      </c>
      <c r="AD95" s="31">
        <f t="shared" si="18"/>
        <v>1287.1949999999999</v>
      </c>
      <c r="AE95" s="31">
        <f>AD95</f>
        <v>1287.1949999999999</v>
      </c>
      <c r="AF95" s="47" t="s">
        <v>4</v>
      </c>
    </row>
    <row r="96" spans="1:33" ht="18.5" x14ac:dyDescent="0.45">
      <c r="A96" s="11">
        <v>6692304416</v>
      </c>
      <c r="B96" s="23">
        <v>753</v>
      </c>
      <c r="C96" s="7" t="s">
        <v>109</v>
      </c>
      <c r="D96" s="7" t="s">
        <v>110</v>
      </c>
      <c r="E96" s="13">
        <v>750</v>
      </c>
      <c r="F96" s="13">
        <v>750</v>
      </c>
      <c r="G96" s="13">
        <v>750</v>
      </c>
      <c r="H96" s="13">
        <v>750</v>
      </c>
      <c r="I96" s="13">
        <f>750*0.3+0.7*1067</f>
        <v>971.9</v>
      </c>
      <c r="J96" s="20">
        <v>1067</v>
      </c>
      <c r="K96" s="20">
        <v>1067</v>
      </c>
      <c r="L96" s="20">
        <v>1067</v>
      </c>
      <c r="M96" s="13">
        <v>1067</v>
      </c>
      <c r="N96" s="13">
        <v>1067</v>
      </c>
      <c r="O96" s="13">
        <v>1067</v>
      </c>
      <c r="P96" s="13">
        <v>1067</v>
      </c>
      <c r="Q96" s="13">
        <v>1067</v>
      </c>
      <c r="R96" s="13">
        <v>1067</v>
      </c>
      <c r="S96" s="13">
        <f t="shared" si="20"/>
        <v>1067</v>
      </c>
      <c r="T96" s="13">
        <f t="shared" si="20"/>
        <v>1067</v>
      </c>
      <c r="U96" s="13">
        <f t="shared" si="20"/>
        <v>1067</v>
      </c>
      <c r="V96" s="13">
        <f t="shared" si="20"/>
        <v>1067</v>
      </c>
      <c r="W96" s="13">
        <f t="shared" si="20"/>
        <v>1067</v>
      </c>
      <c r="X96" s="13">
        <f t="shared" si="20"/>
        <v>1067</v>
      </c>
      <c r="Y96" s="13">
        <f t="shared" si="20"/>
        <v>1067</v>
      </c>
      <c r="Z96" s="13">
        <f t="shared" si="20"/>
        <v>1067</v>
      </c>
      <c r="AA96" s="13">
        <f t="shared" si="20"/>
        <v>1067</v>
      </c>
      <c r="AB96" s="31">
        <f>AA96</f>
        <v>1067</v>
      </c>
      <c r="AC96" s="31">
        <f t="shared" si="18"/>
        <v>1067</v>
      </c>
      <c r="AD96" s="31">
        <f t="shared" si="18"/>
        <v>1067</v>
      </c>
      <c r="AE96" s="31">
        <f>AD96</f>
        <v>1067</v>
      </c>
      <c r="AF96" s="47" t="s">
        <v>4</v>
      </c>
      <c r="AG96" s="47" t="s">
        <v>4</v>
      </c>
    </row>
    <row r="97" spans="1:37" ht="18.5" x14ac:dyDescent="0.45">
      <c r="A97" s="11">
        <v>8371638959</v>
      </c>
      <c r="B97" s="7">
        <v>1000000062</v>
      </c>
      <c r="C97" s="7" t="s">
        <v>111</v>
      </c>
      <c r="D97" s="12" t="s">
        <v>112</v>
      </c>
      <c r="Q97" s="16"/>
      <c r="AD97" s="59">
        <f>958*16/29</f>
        <v>528.55172413793105</v>
      </c>
      <c r="AE97" s="59">
        <f>958</f>
        <v>958</v>
      </c>
      <c r="AF97" s="59">
        <f>958</f>
        <v>958</v>
      </c>
      <c r="AG97" s="46" t="s">
        <v>4</v>
      </c>
      <c r="AH97" s="46" t="s">
        <v>4</v>
      </c>
    </row>
    <row r="98" spans="1:37" ht="18.5" x14ac:dyDescent="0.45">
      <c r="A98" s="11">
        <v>7792008244</v>
      </c>
      <c r="B98" s="7">
        <v>642</v>
      </c>
      <c r="C98" s="7" t="s">
        <v>113</v>
      </c>
      <c r="D98" s="23" t="s">
        <v>114</v>
      </c>
      <c r="E98" s="13">
        <v>893</v>
      </c>
      <c r="F98" s="13">
        <v>893</v>
      </c>
      <c r="G98" s="13">
        <v>893</v>
      </c>
      <c r="H98" s="13">
        <v>893</v>
      </c>
      <c r="I98" s="13">
        <v>893</v>
      </c>
      <c r="J98" s="13">
        <v>893</v>
      </c>
      <c r="K98" s="13">
        <v>893</v>
      </c>
      <c r="L98" s="13">
        <v>893</v>
      </c>
      <c r="M98" s="13">
        <v>893</v>
      </c>
      <c r="N98" s="13">
        <v>893</v>
      </c>
      <c r="O98" s="13">
        <v>893</v>
      </c>
      <c r="P98" s="13">
        <v>893</v>
      </c>
      <c r="Q98" s="13">
        <v>893</v>
      </c>
      <c r="R98" s="13">
        <v>893</v>
      </c>
      <c r="S98" s="13">
        <v>893</v>
      </c>
      <c r="T98" s="13">
        <f t="shared" ref="T98:AH101" si="21">S98</f>
        <v>893</v>
      </c>
      <c r="U98" s="13">
        <f t="shared" si="21"/>
        <v>893</v>
      </c>
      <c r="V98" s="13">
        <f t="shared" si="21"/>
        <v>893</v>
      </c>
      <c r="W98" s="13">
        <f t="shared" si="21"/>
        <v>893</v>
      </c>
      <c r="X98" s="13">
        <f t="shared" si="21"/>
        <v>893</v>
      </c>
      <c r="Y98" s="13">
        <f t="shared" si="21"/>
        <v>893</v>
      </c>
      <c r="Z98" s="13">
        <f t="shared" si="21"/>
        <v>893</v>
      </c>
      <c r="AA98" s="13">
        <f t="shared" si="21"/>
        <v>893</v>
      </c>
      <c r="AB98" s="13">
        <f t="shared" si="21"/>
        <v>893</v>
      </c>
      <c r="AC98" s="13">
        <f t="shared" si="21"/>
        <v>893</v>
      </c>
      <c r="AD98" s="13">
        <f t="shared" si="21"/>
        <v>893</v>
      </c>
      <c r="AE98" s="13">
        <f t="shared" si="21"/>
        <v>893</v>
      </c>
      <c r="AF98" s="57">
        <f t="shared" si="21"/>
        <v>893</v>
      </c>
      <c r="AG98" s="57">
        <f t="shared" si="21"/>
        <v>893</v>
      </c>
      <c r="AH98" s="57">
        <f t="shared" si="21"/>
        <v>893</v>
      </c>
      <c r="AI98" s="48" t="s">
        <v>4</v>
      </c>
    </row>
    <row r="99" spans="1:37" ht="18.5" x14ac:dyDescent="0.45">
      <c r="A99" s="11">
        <v>9111914587</v>
      </c>
      <c r="B99" s="7">
        <v>946</v>
      </c>
      <c r="C99" s="7" t="s">
        <v>115</v>
      </c>
      <c r="D99" s="7"/>
      <c r="S99" s="26">
        <v>396.75</v>
      </c>
      <c r="T99" s="26">
        <v>396.75</v>
      </c>
      <c r="U99" s="60">
        <v>396.75</v>
      </c>
      <c r="V99" s="60">
        <f t="shared" si="21"/>
        <v>396.75</v>
      </c>
      <c r="W99" s="60">
        <f t="shared" si="21"/>
        <v>396.75</v>
      </c>
      <c r="X99" s="60">
        <f t="shared" si="21"/>
        <v>396.75</v>
      </c>
      <c r="Y99" s="60">
        <f t="shared" si="21"/>
        <v>396.75</v>
      </c>
      <c r="Z99" s="60">
        <f t="shared" si="21"/>
        <v>396.75</v>
      </c>
      <c r="AA99" s="60">
        <f t="shared" si="21"/>
        <v>396.75</v>
      </c>
      <c r="AB99" s="60">
        <f t="shared" si="21"/>
        <v>396.75</v>
      </c>
      <c r="AC99" s="48" t="s">
        <v>4</v>
      </c>
    </row>
    <row r="100" spans="1:37" ht="18.75" customHeight="1" x14ac:dyDescent="0.45">
      <c r="A100" s="11">
        <v>5472100071</v>
      </c>
      <c r="B100" s="7">
        <v>590</v>
      </c>
      <c r="C100" s="7" t="s">
        <v>116</v>
      </c>
      <c r="D100" s="12" t="s">
        <v>117</v>
      </c>
      <c r="E100" s="13">
        <f>650+99</f>
        <v>749</v>
      </c>
      <c r="F100" s="13">
        <f>650+99</f>
        <v>749</v>
      </c>
      <c r="G100" s="13">
        <f t="shared" ref="G100:Q100" si="22">749+159</f>
        <v>908</v>
      </c>
      <c r="H100" s="13">
        <f t="shared" si="22"/>
        <v>908</v>
      </c>
      <c r="I100" s="13">
        <f t="shared" si="22"/>
        <v>908</v>
      </c>
      <c r="J100" s="20">
        <f t="shared" si="22"/>
        <v>908</v>
      </c>
      <c r="K100" s="20">
        <f t="shared" si="22"/>
        <v>908</v>
      </c>
      <c r="L100" s="20">
        <f t="shared" si="22"/>
        <v>908</v>
      </c>
      <c r="M100" s="13">
        <f t="shared" si="22"/>
        <v>908</v>
      </c>
      <c r="N100" s="13">
        <f t="shared" si="22"/>
        <v>908</v>
      </c>
      <c r="O100" s="13">
        <f t="shared" si="22"/>
        <v>908</v>
      </c>
      <c r="P100" s="13">
        <f t="shared" si="22"/>
        <v>908</v>
      </c>
      <c r="Q100" s="13">
        <f t="shared" si="22"/>
        <v>908</v>
      </c>
      <c r="R100" s="30">
        <f>PRODUCT(Q100*1.15)</f>
        <v>1044.1999999999998</v>
      </c>
      <c r="S100" s="13">
        <f t="shared" ref="S100:U101" si="23">R100</f>
        <v>1044.1999999999998</v>
      </c>
      <c r="T100" s="13">
        <f t="shared" si="23"/>
        <v>1044.1999999999998</v>
      </c>
      <c r="U100" s="13">
        <f t="shared" si="23"/>
        <v>1044.1999999999998</v>
      </c>
      <c r="V100" s="13">
        <f t="shared" si="21"/>
        <v>1044.1999999999998</v>
      </c>
      <c r="W100" s="13">
        <f t="shared" si="21"/>
        <v>1044.1999999999998</v>
      </c>
      <c r="X100" s="13">
        <f t="shared" si="21"/>
        <v>1044.1999999999998</v>
      </c>
      <c r="Y100" s="13">
        <f t="shared" si="21"/>
        <v>1044.1999999999998</v>
      </c>
      <c r="Z100" s="13">
        <f t="shared" si="21"/>
        <v>1044.1999999999998</v>
      </c>
      <c r="AA100" s="13">
        <f t="shared" si="21"/>
        <v>1044.1999999999998</v>
      </c>
      <c r="AB100" s="31">
        <f t="shared" si="21"/>
        <v>1044.1999999999998</v>
      </c>
      <c r="AC100" s="31">
        <f t="shared" si="21"/>
        <v>1044.1999999999998</v>
      </c>
      <c r="AD100" s="31">
        <f t="shared" si="21"/>
        <v>1044.1999999999998</v>
      </c>
      <c r="AE100" s="31">
        <f t="shared" si="21"/>
        <v>1044.1999999999998</v>
      </c>
      <c r="AF100" s="31">
        <f t="shared" si="21"/>
        <v>1044.1999999999998</v>
      </c>
      <c r="AG100" s="31">
        <f t="shared" si="21"/>
        <v>1044.1999999999998</v>
      </c>
      <c r="AH100" s="47" t="s">
        <v>4</v>
      </c>
    </row>
    <row r="101" spans="1:37" ht="18.5" x14ac:dyDescent="0.45">
      <c r="A101" s="11">
        <v>6342945468</v>
      </c>
      <c r="B101" s="7">
        <v>571</v>
      </c>
      <c r="C101" s="7" t="s">
        <v>118</v>
      </c>
      <c r="D101" s="12" t="s">
        <v>119</v>
      </c>
      <c r="E101" s="13">
        <v>804.8</v>
      </c>
      <c r="F101" s="13">
        <v>804.8</v>
      </c>
      <c r="G101" s="13">
        <v>804.8</v>
      </c>
      <c r="H101" s="13">
        <v>804.8</v>
      </c>
      <c r="I101" s="13">
        <v>804.8</v>
      </c>
      <c r="J101" s="20">
        <v>804.8</v>
      </c>
      <c r="K101" s="20">
        <v>804.8</v>
      </c>
      <c r="L101" s="20">
        <v>804.8</v>
      </c>
      <c r="M101" s="13">
        <v>804.8</v>
      </c>
      <c r="N101" s="13">
        <v>804.8</v>
      </c>
      <c r="O101" s="13">
        <v>804.8</v>
      </c>
      <c r="P101" s="13">
        <v>804.8</v>
      </c>
      <c r="Q101" s="13">
        <v>804.8</v>
      </c>
      <c r="R101" s="30">
        <f>PRODUCT(Q101*1.15)</f>
        <v>925.51999999999987</v>
      </c>
      <c r="S101" s="13">
        <f t="shared" si="23"/>
        <v>925.51999999999987</v>
      </c>
      <c r="T101" s="13">
        <f t="shared" si="23"/>
        <v>925.51999999999987</v>
      </c>
      <c r="U101" s="13">
        <f t="shared" si="23"/>
        <v>925.51999999999987</v>
      </c>
      <c r="V101" s="13">
        <f t="shared" si="21"/>
        <v>925.51999999999987</v>
      </c>
      <c r="W101" s="13">
        <f t="shared" si="21"/>
        <v>925.51999999999987</v>
      </c>
      <c r="X101" s="13">
        <f t="shared" si="21"/>
        <v>925.51999999999987</v>
      </c>
      <c r="Y101" s="13">
        <f t="shared" si="21"/>
        <v>925.51999999999987</v>
      </c>
      <c r="Z101" s="13">
        <f t="shared" si="21"/>
        <v>925.51999999999987</v>
      </c>
      <c r="AA101" s="13">
        <f t="shared" si="21"/>
        <v>925.51999999999987</v>
      </c>
      <c r="AB101" s="31">
        <f t="shared" si="21"/>
        <v>925.51999999999987</v>
      </c>
      <c r="AC101" s="31">
        <f t="shared" si="21"/>
        <v>925.51999999999987</v>
      </c>
      <c r="AD101" s="31">
        <f t="shared" si="21"/>
        <v>925.51999999999987</v>
      </c>
      <c r="AE101" s="31">
        <f t="shared" si="21"/>
        <v>925.51999999999987</v>
      </c>
      <c r="AF101" s="31">
        <f t="shared" si="21"/>
        <v>925.51999999999987</v>
      </c>
      <c r="AG101" s="31">
        <f t="shared" si="21"/>
        <v>925.51999999999987</v>
      </c>
      <c r="AH101" s="47" t="s">
        <v>4</v>
      </c>
    </row>
    <row r="102" spans="1:37" ht="18.75" customHeight="1" x14ac:dyDescent="0.45">
      <c r="A102" s="11">
        <v>7822767033</v>
      </c>
      <c r="B102" s="11">
        <v>248</v>
      </c>
      <c r="C102" s="7" t="s">
        <v>120</v>
      </c>
      <c r="D102" s="12" t="s">
        <v>121</v>
      </c>
      <c r="E102" s="13">
        <f>1220</f>
        <v>1220</v>
      </c>
      <c r="F102" s="13">
        <f>1220</f>
        <v>1220</v>
      </c>
      <c r="G102" s="13">
        <f>1220</f>
        <v>1220</v>
      </c>
      <c r="H102" s="22">
        <f t="shared" ref="H102:M102" si="24">662+538</f>
        <v>1200</v>
      </c>
      <c r="I102" s="22">
        <f t="shared" si="24"/>
        <v>1200</v>
      </c>
      <c r="J102" s="22">
        <f t="shared" si="24"/>
        <v>1200</v>
      </c>
      <c r="K102" s="22">
        <f t="shared" si="24"/>
        <v>1200</v>
      </c>
      <c r="L102" s="22">
        <f t="shared" si="24"/>
        <v>1200</v>
      </c>
      <c r="M102" s="22">
        <f t="shared" si="24"/>
        <v>1200</v>
      </c>
      <c r="N102" s="13">
        <f>1220</f>
        <v>1220</v>
      </c>
      <c r="O102" s="13">
        <f>1220</f>
        <v>1220</v>
      </c>
      <c r="P102" s="13">
        <f>1220</f>
        <v>1220</v>
      </c>
      <c r="Q102" s="39">
        <f>P102*1.15</f>
        <v>1403</v>
      </c>
      <c r="R102" s="13">
        <f>Q102</f>
        <v>1403</v>
      </c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37" ht="18.75" customHeight="1" thickBot="1" x14ac:dyDescent="0.5">
      <c r="A103" s="11">
        <v>7822767033</v>
      </c>
      <c r="B103" s="11">
        <v>303</v>
      </c>
      <c r="C103" s="43" t="s">
        <v>120</v>
      </c>
      <c r="D103" s="12" t="s">
        <v>122</v>
      </c>
      <c r="E103" s="13">
        <v>990</v>
      </c>
      <c r="F103" s="13">
        <v>990</v>
      </c>
      <c r="G103" s="13">
        <v>990</v>
      </c>
      <c r="H103" s="22">
        <v>538</v>
      </c>
      <c r="I103" s="22">
        <v>538</v>
      </c>
      <c r="J103" s="22">
        <v>538</v>
      </c>
      <c r="K103" s="22">
        <v>538</v>
      </c>
      <c r="L103" s="22">
        <v>538</v>
      </c>
      <c r="M103" s="22">
        <v>538</v>
      </c>
      <c r="N103" s="13">
        <v>990</v>
      </c>
      <c r="O103" s="13">
        <v>990</v>
      </c>
      <c r="P103" s="13">
        <v>990</v>
      </c>
      <c r="Q103" s="39">
        <f>P103*1.15</f>
        <v>1138.5</v>
      </c>
      <c r="R103" s="13">
        <f>Q103</f>
        <v>1138.5</v>
      </c>
      <c r="S103" s="19"/>
      <c r="T103" s="19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37" ht="18.75" customHeight="1" x14ac:dyDescent="0.45">
      <c r="A104" s="11">
        <v>8971849110</v>
      </c>
      <c r="B104" s="11"/>
      <c r="C104" s="11" t="s">
        <v>123</v>
      </c>
      <c r="D104" s="12" t="s">
        <v>124</v>
      </c>
      <c r="E104" s="13">
        <v>980</v>
      </c>
      <c r="F104" s="13">
        <v>980</v>
      </c>
      <c r="G104" s="13">
        <v>980</v>
      </c>
      <c r="H104" s="13">
        <v>980</v>
      </c>
      <c r="I104" s="13">
        <v>980</v>
      </c>
      <c r="J104" s="20">
        <v>980</v>
      </c>
      <c r="K104" s="20">
        <v>980</v>
      </c>
      <c r="L104" s="13">
        <v>980</v>
      </c>
      <c r="M104" s="13">
        <v>980</v>
      </c>
      <c r="N104" s="13">
        <v>980</v>
      </c>
      <c r="O104" s="13">
        <v>980</v>
      </c>
      <c r="P104" s="13">
        <v>980</v>
      </c>
      <c r="Q104" s="13">
        <v>980</v>
      </c>
      <c r="R104" s="30">
        <f>Q104*1.15</f>
        <v>1127</v>
      </c>
      <c r="S104" s="62"/>
      <c r="T104" s="62"/>
      <c r="U104" s="62"/>
      <c r="V104" s="62"/>
      <c r="W104" s="62"/>
      <c r="X104" s="62"/>
      <c r="Y104" s="62"/>
      <c r="Z104" s="62"/>
      <c r="AA104" s="62"/>
      <c r="AB104" s="62"/>
    </row>
    <row r="105" spans="1:37" ht="18.5" x14ac:dyDescent="0.45">
      <c r="A105" s="11">
        <v>8133791111</v>
      </c>
      <c r="B105" s="7">
        <v>887</v>
      </c>
      <c r="C105" s="12" t="s">
        <v>125</v>
      </c>
      <c r="D105" s="12" t="s">
        <v>125</v>
      </c>
      <c r="Q105" s="16"/>
      <c r="R105" s="1" t="s">
        <v>126</v>
      </c>
      <c r="S105" s="13">
        <v>1000</v>
      </c>
      <c r="T105" s="13">
        <v>1000</v>
      </c>
      <c r="U105" s="13">
        <v>1000</v>
      </c>
      <c r="V105" s="63" t="s">
        <v>4</v>
      </c>
      <c r="W105" s="18"/>
    </row>
    <row r="106" spans="1:37" ht="15" customHeight="1" x14ac:dyDescent="0.45">
      <c r="A106" s="11">
        <v>6861691753</v>
      </c>
      <c r="B106" s="7">
        <v>828</v>
      </c>
      <c r="C106" s="7" t="s">
        <v>127</v>
      </c>
      <c r="D106" s="64" t="s">
        <v>128</v>
      </c>
      <c r="K106" s="13">
        <v>1093.2</v>
      </c>
      <c r="L106" s="13">
        <v>1093.2</v>
      </c>
      <c r="M106" s="13">
        <v>1093.2</v>
      </c>
      <c r="N106" s="13">
        <v>1093.2</v>
      </c>
      <c r="O106" s="13">
        <v>1093.2</v>
      </c>
      <c r="P106" s="13">
        <v>1093.2</v>
      </c>
      <c r="Q106" s="13">
        <v>0</v>
      </c>
      <c r="R106" s="13">
        <v>1093.2</v>
      </c>
      <c r="S106" s="13">
        <f t="shared" ref="S106:AF106" si="25">R106</f>
        <v>1093.2</v>
      </c>
      <c r="T106" s="13">
        <f t="shared" si="25"/>
        <v>1093.2</v>
      </c>
      <c r="U106" s="13">
        <f t="shared" si="25"/>
        <v>1093.2</v>
      </c>
      <c r="V106" s="13">
        <f t="shared" si="25"/>
        <v>1093.2</v>
      </c>
      <c r="W106" s="13">
        <f t="shared" si="25"/>
        <v>1093.2</v>
      </c>
      <c r="X106" s="13">
        <f t="shared" si="25"/>
        <v>1093.2</v>
      </c>
      <c r="Y106" s="13">
        <f t="shared" si="25"/>
        <v>1093.2</v>
      </c>
      <c r="Z106" s="13">
        <f t="shared" si="25"/>
        <v>1093.2</v>
      </c>
      <c r="AA106" s="13">
        <f t="shared" si="25"/>
        <v>1093.2</v>
      </c>
      <c r="AB106" s="31">
        <f t="shared" si="25"/>
        <v>1093.2</v>
      </c>
      <c r="AC106" s="31">
        <f t="shared" si="25"/>
        <v>1093.2</v>
      </c>
      <c r="AD106" s="31">
        <f t="shared" si="25"/>
        <v>1093.2</v>
      </c>
      <c r="AE106" s="31">
        <f t="shared" si="25"/>
        <v>1093.2</v>
      </c>
      <c r="AF106" s="31">
        <f t="shared" si="25"/>
        <v>1093.2</v>
      </c>
      <c r="AG106" s="47" t="s">
        <v>4</v>
      </c>
    </row>
    <row r="107" spans="1:37" ht="18.5" x14ac:dyDescent="0.45">
      <c r="A107" s="11">
        <v>5222586517</v>
      </c>
      <c r="B107" s="11"/>
      <c r="C107" s="65" t="s">
        <v>129</v>
      </c>
      <c r="D107" s="65" t="s">
        <v>129</v>
      </c>
      <c r="Q107" s="16"/>
      <c r="Z107" s="36"/>
      <c r="AA107" s="36"/>
    </row>
    <row r="108" spans="1:37" ht="18.5" x14ac:dyDescent="0.45">
      <c r="A108" s="11">
        <v>6922315643</v>
      </c>
      <c r="B108" s="11"/>
      <c r="C108" s="7" t="s">
        <v>130</v>
      </c>
      <c r="D108" s="12" t="s">
        <v>131</v>
      </c>
      <c r="Q108" s="16"/>
      <c r="U108" s="13">
        <f>7/31*1149</f>
        <v>259.45161290322579</v>
      </c>
      <c r="V108" s="13">
        <v>1149</v>
      </c>
      <c r="W108" s="13">
        <v>1149</v>
      </c>
      <c r="X108" s="13">
        <v>1149</v>
      </c>
      <c r="Y108" s="13">
        <v>1149</v>
      </c>
      <c r="Z108" s="57">
        <v>1149</v>
      </c>
      <c r="AA108" s="57">
        <v>1149</v>
      </c>
      <c r="AB108" s="19"/>
    </row>
    <row r="109" spans="1:37" s="66" customFormat="1" ht="15.75" customHeight="1" thickBot="1" x14ac:dyDescent="0.5">
      <c r="A109" s="11">
        <v>1181640926</v>
      </c>
      <c r="B109" s="11"/>
      <c r="C109" s="33" t="s">
        <v>132</v>
      </c>
      <c r="D109" s="12" t="s">
        <v>133</v>
      </c>
      <c r="L109" s="67">
        <f>7/31*636</f>
        <v>143.61290322580643</v>
      </c>
      <c r="M109" s="67">
        <v>636</v>
      </c>
      <c r="N109" s="67">
        <v>636</v>
      </c>
      <c r="O109" s="67">
        <v>636</v>
      </c>
      <c r="P109" s="67">
        <v>636</v>
      </c>
      <c r="Q109" s="68"/>
      <c r="R109" s="68"/>
      <c r="S109" s="68"/>
      <c r="T109" s="67">
        <f t="shared" ref="T109:AA109" si="26">636*1.15</f>
        <v>731.4</v>
      </c>
      <c r="U109" s="69">
        <f t="shared" si="26"/>
        <v>731.4</v>
      </c>
      <c r="V109" s="69">
        <f t="shared" si="26"/>
        <v>731.4</v>
      </c>
      <c r="W109" s="69">
        <f t="shared" si="26"/>
        <v>731.4</v>
      </c>
      <c r="X109" s="69">
        <f t="shared" si="26"/>
        <v>731.4</v>
      </c>
      <c r="Y109" s="69">
        <f t="shared" si="26"/>
        <v>731.4</v>
      </c>
      <c r="Z109" s="69">
        <f t="shared" si="26"/>
        <v>731.4</v>
      </c>
      <c r="AA109" s="69">
        <f t="shared" si="26"/>
        <v>731.4</v>
      </c>
      <c r="AB109" s="70">
        <f t="shared" ref="AB109:AJ115" si="27">AA109</f>
        <v>731.4</v>
      </c>
      <c r="AC109" s="70">
        <f t="shared" si="27"/>
        <v>731.4</v>
      </c>
    </row>
    <row r="110" spans="1:37" ht="18.75" customHeight="1" x14ac:dyDescent="0.45">
      <c r="A110" s="11">
        <v>6342823469</v>
      </c>
      <c r="B110" s="11">
        <v>89</v>
      </c>
      <c r="C110" s="7" t="s">
        <v>134</v>
      </c>
      <c r="D110" s="12" t="s">
        <v>135</v>
      </c>
      <c r="E110" s="13">
        <v>1310</v>
      </c>
      <c r="F110" s="13">
        <v>1310</v>
      </c>
      <c r="G110" s="13">
        <v>1310</v>
      </c>
      <c r="H110" s="13">
        <v>1310</v>
      </c>
      <c r="I110" s="13">
        <v>1310</v>
      </c>
      <c r="J110" s="20">
        <v>1310</v>
      </c>
      <c r="K110" s="20">
        <v>1310</v>
      </c>
      <c r="L110" s="13">
        <v>1310</v>
      </c>
      <c r="M110" s="13">
        <v>1310</v>
      </c>
      <c r="N110" s="13">
        <v>1310</v>
      </c>
      <c r="O110" s="13">
        <v>1310</v>
      </c>
      <c r="P110" s="13">
        <v>1310</v>
      </c>
      <c r="Q110" s="13">
        <v>1310</v>
      </c>
      <c r="R110" s="32">
        <f>PRODUCT(Q110*1.15)</f>
        <v>1506.4999999999998</v>
      </c>
      <c r="S110" s="13">
        <f t="shared" ref="S110:AA115" si="28">R110</f>
        <v>1506.4999999999998</v>
      </c>
      <c r="T110" s="13">
        <f t="shared" si="28"/>
        <v>1506.4999999999998</v>
      </c>
      <c r="U110" s="13">
        <f t="shared" si="28"/>
        <v>1506.4999999999998</v>
      </c>
      <c r="V110" s="13">
        <f t="shared" si="28"/>
        <v>1506.4999999999998</v>
      </c>
      <c r="W110" s="13">
        <f t="shared" si="28"/>
        <v>1506.4999999999998</v>
      </c>
      <c r="X110" s="13">
        <f t="shared" si="28"/>
        <v>1506.4999999999998</v>
      </c>
      <c r="Y110" s="13">
        <v>1506.4999999999998</v>
      </c>
      <c r="Z110" s="13">
        <v>1506.4999999999998</v>
      </c>
      <c r="AA110" s="13">
        <v>1506.4999999999998</v>
      </c>
      <c r="AB110" s="31">
        <f t="shared" si="27"/>
        <v>1506.4999999999998</v>
      </c>
      <c r="AC110" s="31">
        <f t="shared" si="27"/>
        <v>1506.4999999999998</v>
      </c>
      <c r="AD110" s="31">
        <f t="shared" si="27"/>
        <v>1506.4999999999998</v>
      </c>
      <c r="AE110" s="31">
        <f t="shared" si="27"/>
        <v>1506.4999999999998</v>
      </c>
      <c r="AF110" s="31">
        <f t="shared" si="27"/>
        <v>1506.4999999999998</v>
      </c>
      <c r="AG110" s="31">
        <v>1506.4999999999998</v>
      </c>
      <c r="AH110" s="31">
        <v>1506.4999999999998</v>
      </c>
      <c r="AI110" s="19"/>
    </row>
    <row r="111" spans="1:37" ht="18.75" customHeight="1" x14ac:dyDescent="0.45">
      <c r="A111" s="11">
        <v>1132457808</v>
      </c>
      <c r="B111" s="11">
        <v>441</v>
      </c>
      <c r="C111" s="7" t="s">
        <v>136</v>
      </c>
      <c r="D111" s="12" t="s">
        <v>137</v>
      </c>
      <c r="E111" s="13">
        <f t="shared" ref="E111:P113" si="29">2900.8/3</f>
        <v>966.93333333333339</v>
      </c>
      <c r="F111" s="13">
        <f t="shared" si="29"/>
        <v>966.93333333333339</v>
      </c>
      <c r="G111" s="13">
        <f t="shared" si="29"/>
        <v>966.93333333333339</v>
      </c>
      <c r="H111" s="13">
        <f t="shared" si="29"/>
        <v>966.93333333333339</v>
      </c>
      <c r="I111" s="13">
        <f t="shared" si="29"/>
        <v>966.93333333333339</v>
      </c>
      <c r="J111" s="13">
        <f t="shared" si="29"/>
        <v>966.93333333333339</v>
      </c>
      <c r="K111" s="13">
        <f t="shared" si="29"/>
        <v>966.93333333333339</v>
      </c>
      <c r="L111" s="13">
        <f t="shared" si="29"/>
        <v>966.93333333333339</v>
      </c>
      <c r="M111" s="13">
        <f t="shared" si="29"/>
        <v>966.93333333333339</v>
      </c>
      <c r="N111" s="13">
        <f t="shared" si="29"/>
        <v>966.93333333333339</v>
      </c>
      <c r="O111" s="13">
        <f t="shared" si="29"/>
        <v>966.93333333333339</v>
      </c>
      <c r="P111" s="13">
        <f t="shared" si="29"/>
        <v>966.93333333333339</v>
      </c>
      <c r="Q111" s="39">
        <f>3335.92/3</f>
        <v>1111.9733333333334</v>
      </c>
      <c r="R111" s="13">
        <f>Q111</f>
        <v>1111.9733333333334</v>
      </c>
      <c r="S111" s="13">
        <f t="shared" si="28"/>
        <v>1111.9733333333334</v>
      </c>
      <c r="T111" s="13">
        <f t="shared" si="28"/>
        <v>1111.9733333333334</v>
      </c>
      <c r="U111" s="13">
        <f t="shared" si="28"/>
        <v>1111.9733333333334</v>
      </c>
      <c r="V111" s="13">
        <f t="shared" si="28"/>
        <v>1111.9733333333334</v>
      </c>
      <c r="W111" s="13">
        <f t="shared" si="28"/>
        <v>1111.9733333333334</v>
      </c>
      <c r="X111" s="13">
        <f t="shared" si="28"/>
        <v>1111.9733333333334</v>
      </c>
      <c r="Y111" s="13">
        <f t="shared" si="28"/>
        <v>1111.9733333333334</v>
      </c>
      <c r="Z111" s="13">
        <f t="shared" si="28"/>
        <v>1111.9733333333334</v>
      </c>
      <c r="AA111" s="13">
        <f t="shared" si="28"/>
        <v>1111.9733333333334</v>
      </c>
      <c r="AB111" s="13">
        <f t="shared" si="27"/>
        <v>1111.9733333333334</v>
      </c>
      <c r="AC111" s="13">
        <f t="shared" si="27"/>
        <v>1111.9733333333334</v>
      </c>
      <c r="AD111" s="13">
        <f t="shared" si="27"/>
        <v>1111.9733333333334</v>
      </c>
      <c r="AE111" s="13">
        <f t="shared" si="27"/>
        <v>1111.9733333333334</v>
      </c>
      <c r="AF111" s="13">
        <f t="shared" si="27"/>
        <v>1111.9733333333334</v>
      </c>
      <c r="AG111" s="13">
        <f t="shared" si="27"/>
        <v>1111.9733333333334</v>
      </c>
      <c r="AH111" s="13">
        <f t="shared" si="27"/>
        <v>1111.9733333333334</v>
      </c>
      <c r="AI111" s="13">
        <f t="shared" si="27"/>
        <v>1111.9733333333334</v>
      </c>
      <c r="AJ111" s="13">
        <f t="shared" si="27"/>
        <v>1111.9733333333334</v>
      </c>
      <c r="AK111" s="48" t="s">
        <v>4</v>
      </c>
    </row>
    <row r="112" spans="1:37" ht="18.75" customHeight="1" x14ac:dyDescent="0.45">
      <c r="A112" s="11">
        <v>1132457808</v>
      </c>
      <c r="B112" s="11"/>
      <c r="C112" s="7" t="s">
        <v>136</v>
      </c>
      <c r="D112" s="12" t="s">
        <v>138</v>
      </c>
      <c r="E112" s="13">
        <f t="shared" si="29"/>
        <v>966.93333333333339</v>
      </c>
      <c r="F112" s="13">
        <f t="shared" si="29"/>
        <v>966.93333333333339</v>
      </c>
      <c r="G112" s="13">
        <f t="shared" si="29"/>
        <v>966.93333333333339</v>
      </c>
      <c r="H112" s="13">
        <f t="shared" si="29"/>
        <v>966.93333333333339</v>
      </c>
      <c r="I112" s="13">
        <f t="shared" si="29"/>
        <v>966.93333333333339</v>
      </c>
      <c r="J112" s="13">
        <f t="shared" si="29"/>
        <v>966.93333333333339</v>
      </c>
      <c r="K112" s="13">
        <f t="shared" si="29"/>
        <v>966.93333333333339</v>
      </c>
      <c r="L112" s="13">
        <f t="shared" si="29"/>
        <v>966.93333333333339</v>
      </c>
      <c r="M112" s="13">
        <f t="shared" si="29"/>
        <v>966.93333333333339</v>
      </c>
      <c r="N112" s="13">
        <f t="shared" si="29"/>
        <v>966.93333333333339</v>
      </c>
      <c r="O112" s="13">
        <f t="shared" si="29"/>
        <v>966.93333333333339</v>
      </c>
      <c r="P112" s="13">
        <f t="shared" si="29"/>
        <v>966.93333333333339</v>
      </c>
      <c r="Q112" s="39">
        <f>3335.92/3</f>
        <v>1111.9733333333334</v>
      </c>
      <c r="R112" s="13">
        <f>Q112</f>
        <v>1111.9733333333334</v>
      </c>
      <c r="S112" s="13">
        <f t="shared" si="28"/>
        <v>1111.9733333333334</v>
      </c>
      <c r="T112" s="13">
        <f t="shared" si="28"/>
        <v>1111.9733333333334</v>
      </c>
      <c r="U112" s="13">
        <f t="shared" si="28"/>
        <v>1111.9733333333334</v>
      </c>
      <c r="V112" s="13">
        <f t="shared" si="28"/>
        <v>1111.9733333333334</v>
      </c>
      <c r="W112" s="13">
        <f t="shared" si="28"/>
        <v>1111.9733333333334</v>
      </c>
      <c r="X112" s="13">
        <f t="shared" si="28"/>
        <v>1111.9733333333334</v>
      </c>
      <c r="Y112" s="13">
        <f t="shared" si="28"/>
        <v>1111.9733333333334</v>
      </c>
      <c r="Z112" s="13">
        <f t="shared" si="28"/>
        <v>1111.9733333333334</v>
      </c>
      <c r="AA112" s="13">
        <f t="shared" si="28"/>
        <v>1111.9733333333334</v>
      </c>
      <c r="AB112" s="13">
        <f t="shared" si="27"/>
        <v>1111.9733333333334</v>
      </c>
      <c r="AC112" s="13">
        <f t="shared" si="27"/>
        <v>1111.9733333333334</v>
      </c>
      <c r="AD112" s="13">
        <f t="shared" si="27"/>
        <v>1111.9733333333334</v>
      </c>
      <c r="AE112" s="13">
        <f t="shared" si="27"/>
        <v>1111.9733333333334</v>
      </c>
      <c r="AF112" s="13">
        <f t="shared" si="27"/>
        <v>1111.9733333333334</v>
      </c>
      <c r="AG112" s="13">
        <f t="shared" si="27"/>
        <v>1111.9733333333334</v>
      </c>
      <c r="AH112" s="13">
        <f t="shared" si="27"/>
        <v>1111.9733333333334</v>
      </c>
      <c r="AI112" s="13">
        <f t="shared" si="27"/>
        <v>1111.9733333333334</v>
      </c>
      <c r="AJ112" s="13">
        <f t="shared" si="27"/>
        <v>1111.9733333333334</v>
      </c>
      <c r="AK112" s="48" t="s">
        <v>4</v>
      </c>
    </row>
    <row r="113" spans="1:42" ht="18.75" customHeight="1" x14ac:dyDescent="0.45">
      <c r="A113" s="11">
        <v>1132457808</v>
      </c>
      <c r="B113" s="11"/>
      <c r="C113" s="7" t="s">
        <v>136</v>
      </c>
      <c r="D113" s="12" t="s">
        <v>139</v>
      </c>
      <c r="E113" s="13">
        <f t="shared" si="29"/>
        <v>966.93333333333339</v>
      </c>
      <c r="F113" s="13">
        <f t="shared" si="29"/>
        <v>966.93333333333339</v>
      </c>
      <c r="G113" s="13">
        <f t="shared" si="29"/>
        <v>966.93333333333339</v>
      </c>
      <c r="H113" s="13">
        <f t="shared" si="29"/>
        <v>966.93333333333339</v>
      </c>
      <c r="I113" s="13">
        <f t="shared" si="29"/>
        <v>966.93333333333339</v>
      </c>
      <c r="J113" s="13">
        <f t="shared" si="29"/>
        <v>966.93333333333339</v>
      </c>
      <c r="K113" s="13">
        <f t="shared" si="29"/>
        <v>966.93333333333339</v>
      </c>
      <c r="L113" s="13">
        <f t="shared" si="29"/>
        <v>966.93333333333339</v>
      </c>
      <c r="M113" s="13">
        <f t="shared" si="29"/>
        <v>966.93333333333339</v>
      </c>
      <c r="N113" s="13">
        <f t="shared" si="29"/>
        <v>966.93333333333339</v>
      </c>
      <c r="O113" s="13">
        <f t="shared" si="29"/>
        <v>966.93333333333339</v>
      </c>
      <c r="P113" s="13">
        <f t="shared" si="29"/>
        <v>966.93333333333339</v>
      </c>
      <c r="Q113" s="39">
        <f>3335.92/3</f>
        <v>1111.9733333333334</v>
      </c>
      <c r="R113" s="13">
        <f>Q113</f>
        <v>1111.9733333333334</v>
      </c>
      <c r="S113" s="13">
        <f t="shared" si="28"/>
        <v>1111.9733333333334</v>
      </c>
      <c r="T113" s="13">
        <f t="shared" si="28"/>
        <v>1111.9733333333334</v>
      </c>
      <c r="U113" s="13">
        <f t="shared" si="28"/>
        <v>1111.9733333333334</v>
      </c>
      <c r="V113" s="13">
        <f t="shared" si="28"/>
        <v>1111.9733333333334</v>
      </c>
      <c r="W113" s="13">
        <f t="shared" si="28"/>
        <v>1111.9733333333334</v>
      </c>
      <c r="X113" s="13">
        <f t="shared" si="28"/>
        <v>1111.9733333333334</v>
      </c>
      <c r="Y113" s="13">
        <f t="shared" si="28"/>
        <v>1111.9733333333334</v>
      </c>
      <c r="Z113" s="13">
        <f t="shared" si="28"/>
        <v>1111.9733333333334</v>
      </c>
      <c r="AA113" s="13">
        <f t="shared" si="28"/>
        <v>1111.9733333333334</v>
      </c>
      <c r="AB113" s="13">
        <f t="shared" si="27"/>
        <v>1111.9733333333334</v>
      </c>
      <c r="AC113" s="13">
        <f t="shared" si="27"/>
        <v>1111.9733333333334</v>
      </c>
      <c r="AD113" s="13">
        <f t="shared" si="27"/>
        <v>1111.9733333333334</v>
      </c>
      <c r="AE113" s="13">
        <f t="shared" si="27"/>
        <v>1111.9733333333334</v>
      </c>
      <c r="AF113" s="13">
        <f t="shared" si="27"/>
        <v>1111.9733333333334</v>
      </c>
      <c r="AG113" s="13">
        <f t="shared" si="27"/>
        <v>1111.9733333333334</v>
      </c>
      <c r="AH113" s="13">
        <f t="shared" si="27"/>
        <v>1111.9733333333334</v>
      </c>
      <c r="AI113" s="13">
        <f t="shared" si="27"/>
        <v>1111.9733333333334</v>
      </c>
      <c r="AJ113" s="13">
        <f t="shared" si="27"/>
        <v>1111.9733333333334</v>
      </c>
      <c r="AK113" s="48" t="s">
        <v>4</v>
      </c>
    </row>
    <row r="114" spans="1:42" ht="18.75" customHeight="1" x14ac:dyDescent="0.45">
      <c r="A114" s="11">
        <v>1132457808</v>
      </c>
      <c r="B114" s="11"/>
      <c r="C114" s="7" t="s">
        <v>136</v>
      </c>
      <c r="D114" s="12" t="s">
        <v>140</v>
      </c>
      <c r="E114" s="13">
        <v>509.6</v>
      </c>
      <c r="F114" s="13">
        <v>509.6</v>
      </c>
      <c r="G114" s="13">
        <v>509.6</v>
      </c>
      <c r="H114" s="13">
        <v>509.6</v>
      </c>
      <c r="I114" s="13">
        <v>509.6</v>
      </c>
      <c r="J114" s="13">
        <v>509.6</v>
      </c>
      <c r="K114" s="13">
        <v>509.6</v>
      </c>
      <c r="L114" s="13">
        <v>509.6</v>
      </c>
      <c r="M114" s="13">
        <v>509.6</v>
      </c>
      <c r="N114" s="13">
        <v>509.6</v>
      </c>
      <c r="O114" s="13">
        <v>509.6</v>
      </c>
      <c r="P114" s="13">
        <v>509.6</v>
      </c>
      <c r="Q114" s="39">
        <v>586.04</v>
      </c>
      <c r="R114" s="13">
        <f>Q114</f>
        <v>586.04</v>
      </c>
      <c r="S114" s="13">
        <f t="shared" si="28"/>
        <v>586.04</v>
      </c>
      <c r="T114" s="13">
        <f t="shared" si="28"/>
        <v>586.04</v>
      </c>
      <c r="U114" s="13">
        <f t="shared" si="28"/>
        <v>586.04</v>
      </c>
      <c r="V114" s="13">
        <f t="shared" si="28"/>
        <v>586.04</v>
      </c>
      <c r="W114" s="13">
        <f t="shared" si="28"/>
        <v>586.04</v>
      </c>
      <c r="X114" s="13">
        <f t="shared" si="28"/>
        <v>586.04</v>
      </c>
      <c r="Y114" s="13">
        <f t="shared" si="28"/>
        <v>586.04</v>
      </c>
      <c r="Z114" s="13">
        <f t="shared" si="28"/>
        <v>586.04</v>
      </c>
      <c r="AA114" s="13">
        <f t="shared" si="28"/>
        <v>586.04</v>
      </c>
      <c r="AB114" s="13">
        <f t="shared" si="27"/>
        <v>586.04</v>
      </c>
      <c r="AC114" s="13">
        <f t="shared" si="27"/>
        <v>586.04</v>
      </c>
      <c r="AD114" s="13">
        <f t="shared" si="27"/>
        <v>586.04</v>
      </c>
      <c r="AE114" s="13">
        <f t="shared" si="27"/>
        <v>586.04</v>
      </c>
      <c r="AF114" s="13">
        <f t="shared" si="27"/>
        <v>586.04</v>
      </c>
      <c r="AG114" s="13">
        <f t="shared" si="27"/>
        <v>586.04</v>
      </c>
      <c r="AH114" s="13">
        <f t="shared" si="27"/>
        <v>586.04</v>
      </c>
      <c r="AI114" s="13">
        <f t="shared" si="27"/>
        <v>586.04</v>
      </c>
      <c r="AJ114" s="13">
        <f t="shared" si="27"/>
        <v>586.04</v>
      </c>
      <c r="AK114" s="48" t="s">
        <v>4</v>
      </c>
    </row>
    <row r="115" spans="1:42" ht="18.75" customHeight="1" x14ac:dyDescent="0.45">
      <c r="A115" s="11">
        <v>1132457808</v>
      </c>
      <c r="B115" s="11"/>
      <c r="C115" s="7" t="s">
        <v>136</v>
      </c>
      <c r="D115" s="12" t="s">
        <v>141</v>
      </c>
      <c r="E115" s="13">
        <v>509.6</v>
      </c>
      <c r="F115" s="13">
        <v>509.6</v>
      </c>
      <c r="G115" s="13">
        <v>509.6</v>
      </c>
      <c r="H115" s="13">
        <v>509.6</v>
      </c>
      <c r="I115" s="13">
        <v>509.6</v>
      </c>
      <c r="J115" s="13">
        <v>509.6</v>
      </c>
      <c r="K115" s="13">
        <v>509.6</v>
      </c>
      <c r="L115" s="13">
        <v>509.6</v>
      </c>
      <c r="M115" s="13">
        <v>509.6</v>
      </c>
      <c r="N115" s="13">
        <v>509.6</v>
      </c>
      <c r="O115" s="13">
        <v>509.6</v>
      </c>
      <c r="P115" s="13">
        <v>509.6</v>
      </c>
      <c r="Q115" s="39">
        <v>586.04</v>
      </c>
      <c r="R115" s="13">
        <f>Q115</f>
        <v>586.04</v>
      </c>
      <c r="S115" s="13">
        <f t="shared" si="28"/>
        <v>586.04</v>
      </c>
      <c r="T115" s="13">
        <f t="shared" si="28"/>
        <v>586.04</v>
      </c>
      <c r="U115" s="13">
        <f t="shared" si="28"/>
        <v>586.04</v>
      </c>
      <c r="V115" s="13">
        <f t="shared" si="28"/>
        <v>586.04</v>
      </c>
      <c r="W115" s="13">
        <f t="shared" si="28"/>
        <v>586.04</v>
      </c>
      <c r="X115" s="13">
        <f t="shared" si="28"/>
        <v>586.04</v>
      </c>
      <c r="Y115" s="13">
        <f t="shared" si="28"/>
        <v>586.04</v>
      </c>
      <c r="Z115" s="13">
        <f t="shared" si="28"/>
        <v>586.04</v>
      </c>
      <c r="AA115" s="13">
        <f t="shared" si="28"/>
        <v>586.04</v>
      </c>
      <c r="AB115" s="13">
        <f t="shared" si="27"/>
        <v>586.04</v>
      </c>
      <c r="AC115" s="13">
        <f t="shared" si="27"/>
        <v>586.04</v>
      </c>
      <c r="AD115" s="13">
        <f t="shared" si="27"/>
        <v>586.04</v>
      </c>
      <c r="AE115" s="13">
        <f t="shared" si="27"/>
        <v>586.04</v>
      </c>
      <c r="AF115" s="13">
        <f t="shared" si="27"/>
        <v>586.04</v>
      </c>
      <c r="AG115" s="13">
        <f t="shared" si="27"/>
        <v>586.04</v>
      </c>
      <c r="AH115" s="13">
        <f t="shared" si="27"/>
        <v>586.04</v>
      </c>
      <c r="AI115" s="13">
        <f t="shared" si="27"/>
        <v>586.04</v>
      </c>
      <c r="AJ115" s="13">
        <f t="shared" si="27"/>
        <v>586.04</v>
      </c>
      <c r="AK115" s="48" t="s">
        <v>4</v>
      </c>
    </row>
    <row r="116" spans="1:42" ht="18.75" customHeight="1" x14ac:dyDescent="0.45">
      <c r="A116" s="7">
        <v>9462662763</v>
      </c>
      <c r="B116" s="7">
        <v>404</v>
      </c>
      <c r="C116" s="7" t="s">
        <v>142</v>
      </c>
      <c r="D116" s="12" t="s">
        <v>143</v>
      </c>
      <c r="E116" s="13">
        <v>8673</v>
      </c>
      <c r="F116" s="13">
        <v>8918</v>
      </c>
      <c r="G116" s="13">
        <v>9555</v>
      </c>
      <c r="H116" s="13">
        <v>5439</v>
      </c>
      <c r="I116" s="13">
        <v>4459</v>
      </c>
      <c r="J116" s="13">
        <v>4214</v>
      </c>
      <c r="K116" s="13">
        <v>4361</v>
      </c>
      <c r="L116" s="13">
        <v>4900</v>
      </c>
      <c r="M116" s="13">
        <v>4655</v>
      </c>
      <c r="N116" s="13">
        <v>4900</v>
      </c>
      <c r="O116" s="13">
        <v>5586</v>
      </c>
      <c r="P116" s="13">
        <v>6419</v>
      </c>
      <c r="Q116" s="13">
        <v>6664</v>
      </c>
      <c r="R116" s="13">
        <v>6909</v>
      </c>
      <c r="S116" s="13">
        <v>7350</v>
      </c>
      <c r="T116" s="13">
        <v>7399</v>
      </c>
      <c r="U116" s="13">
        <v>7889</v>
      </c>
      <c r="V116" s="13">
        <f>164*49</f>
        <v>8036</v>
      </c>
      <c r="W116" s="13">
        <v>8134</v>
      </c>
      <c r="X116" s="49">
        <f>180*49</f>
        <v>8820</v>
      </c>
      <c r="Y116" s="49">
        <v>9065</v>
      </c>
      <c r="Z116" s="49">
        <v>9555</v>
      </c>
      <c r="AA116" s="49">
        <v>5978</v>
      </c>
      <c r="AB116" s="13">
        <f t="shared" ref="AB116:AJ116" si="30">150*49</f>
        <v>7350</v>
      </c>
      <c r="AC116" s="13">
        <f t="shared" si="30"/>
        <v>7350</v>
      </c>
      <c r="AD116" s="13">
        <f t="shared" si="30"/>
        <v>7350</v>
      </c>
      <c r="AE116" s="13">
        <f t="shared" si="30"/>
        <v>7350</v>
      </c>
      <c r="AF116" s="49">
        <f t="shared" si="30"/>
        <v>7350</v>
      </c>
      <c r="AG116" s="49">
        <f t="shared" si="30"/>
        <v>7350</v>
      </c>
      <c r="AH116" s="49">
        <f t="shared" si="30"/>
        <v>7350</v>
      </c>
      <c r="AI116" s="49">
        <f t="shared" si="30"/>
        <v>7350</v>
      </c>
      <c r="AJ116" s="49">
        <f t="shared" si="30"/>
        <v>7350</v>
      </c>
      <c r="AK116" s="47" t="s">
        <v>4</v>
      </c>
      <c r="AL116" s="5"/>
      <c r="AM116" s="5"/>
      <c r="AN116" s="5"/>
    </row>
    <row r="117" spans="1:42" ht="18.75" customHeight="1" x14ac:dyDescent="0.45">
      <c r="A117" s="7">
        <v>9462662763</v>
      </c>
      <c r="B117" s="7">
        <v>266</v>
      </c>
      <c r="C117" s="7" t="s">
        <v>142</v>
      </c>
      <c r="D117" s="12" t="s">
        <v>144</v>
      </c>
      <c r="E117" s="13">
        <f t="shared" ref="E117:R117" si="31">1920+120+120+120+120+120+120</f>
        <v>2640</v>
      </c>
      <c r="F117" s="13">
        <f t="shared" si="31"/>
        <v>2640</v>
      </c>
      <c r="G117" s="13">
        <f t="shared" si="31"/>
        <v>2640</v>
      </c>
      <c r="H117" s="13">
        <f t="shared" si="31"/>
        <v>2640</v>
      </c>
      <c r="I117" s="13">
        <f t="shared" si="31"/>
        <v>2640</v>
      </c>
      <c r="J117" s="20">
        <f t="shared" si="31"/>
        <v>2640</v>
      </c>
      <c r="K117" s="20">
        <f t="shared" si="31"/>
        <v>2640</v>
      </c>
      <c r="L117" s="13">
        <f t="shared" si="31"/>
        <v>2640</v>
      </c>
      <c r="M117" s="13">
        <f t="shared" si="31"/>
        <v>2640</v>
      </c>
      <c r="N117" s="13">
        <f t="shared" si="31"/>
        <v>2640</v>
      </c>
      <c r="O117" s="13">
        <f t="shared" si="31"/>
        <v>2640</v>
      </c>
      <c r="P117" s="13">
        <f t="shared" si="31"/>
        <v>2640</v>
      </c>
      <c r="Q117" s="13">
        <f t="shared" si="31"/>
        <v>2640</v>
      </c>
      <c r="R117" s="13">
        <f t="shared" si="31"/>
        <v>2640</v>
      </c>
      <c r="S117" s="13">
        <f t="shared" ref="S117:AJ123" si="32">R117</f>
        <v>2640</v>
      </c>
      <c r="T117" s="13">
        <f t="shared" si="32"/>
        <v>2640</v>
      </c>
      <c r="U117" s="13">
        <f t="shared" si="32"/>
        <v>2640</v>
      </c>
      <c r="V117" s="13">
        <f t="shared" si="32"/>
        <v>2640</v>
      </c>
      <c r="W117" s="13">
        <f t="shared" si="32"/>
        <v>2640</v>
      </c>
      <c r="X117" s="13">
        <f t="shared" si="32"/>
        <v>2640</v>
      </c>
      <c r="Y117" s="13">
        <f t="shared" si="32"/>
        <v>2640</v>
      </c>
      <c r="Z117" s="13">
        <f t="shared" si="32"/>
        <v>2640</v>
      </c>
      <c r="AA117" s="13">
        <f t="shared" si="32"/>
        <v>2640</v>
      </c>
      <c r="AB117" s="31">
        <f t="shared" si="32"/>
        <v>2640</v>
      </c>
      <c r="AC117" s="31">
        <f t="shared" si="32"/>
        <v>2640</v>
      </c>
      <c r="AD117" s="31">
        <f t="shared" si="32"/>
        <v>2640</v>
      </c>
      <c r="AE117" s="31">
        <f t="shared" si="32"/>
        <v>2640</v>
      </c>
      <c r="AF117" s="31">
        <f t="shared" si="32"/>
        <v>2640</v>
      </c>
      <c r="AG117" s="31">
        <f t="shared" si="32"/>
        <v>2640</v>
      </c>
      <c r="AH117" s="31">
        <f t="shared" si="32"/>
        <v>2640</v>
      </c>
      <c r="AI117" s="31">
        <f t="shared" si="32"/>
        <v>2640</v>
      </c>
      <c r="AJ117" s="31">
        <f t="shared" si="32"/>
        <v>2640</v>
      </c>
      <c r="AK117" s="47" t="s">
        <v>4</v>
      </c>
    </row>
    <row r="118" spans="1:42" ht="34.4" customHeight="1" x14ac:dyDescent="0.45">
      <c r="A118" s="7">
        <v>8381031650</v>
      </c>
      <c r="B118" s="7">
        <v>974</v>
      </c>
      <c r="C118" s="43" t="s">
        <v>145</v>
      </c>
      <c r="D118" s="12" t="s">
        <v>146</v>
      </c>
      <c r="Q118" s="16"/>
      <c r="T118" s="13">
        <v>1296</v>
      </c>
      <c r="U118" s="13">
        <f t="shared" si="32"/>
        <v>1296</v>
      </c>
      <c r="V118" s="13">
        <f t="shared" si="32"/>
        <v>1296</v>
      </c>
      <c r="W118" s="13">
        <f t="shared" si="32"/>
        <v>1296</v>
      </c>
      <c r="X118" s="13">
        <f t="shared" si="32"/>
        <v>1296</v>
      </c>
      <c r="Y118" s="13">
        <f t="shared" si="32"/>
        <v>1296</v>
      </c>
      <c r="Z118" s="13">
        <f t="shared" si="32"/>
        <v>1296</v>
      </c>
      <c r="AA118" s="13">
        <f t="shared" si="32"/>
        <v>1296</v>
      </c>
      <c r="AB118" s="49">
        <f t="shared" si="32"/>
        <v>1296</v>
      </c>
      <c r="AC118" s="49">
        <f t="shared" si="32"/>
        <v>1296</v>
      </c>
      <c r="AD118" s="49">
        <v>1296</v>
      </c>
      <c r="AE118" s="49">
        <v>1296</v>
      </c>
      <c r="AF118" s="49">
        <v>1296</v>
      </c>
      <c r="AG118" s="49">
        <v>1296</v>
      </c>
      <c r="AH118" s="49">
        <v>1296</v>
      </c>
      <c r="AI118" s="49">
        <v>1296</v>
      </c>
      <c r="AJ118" s="49">
        <v>1296</v>
      </c>
      <c r="AK118" s="49">
        <v>1296</v>
      </c>
      <c r="AL118" s="49">
        <v>1296</v>
      </c>
      <c r="AM118" s="71" t="s">
        <v>4</v>
      </c>
    </row>
    <row r="119" spans="1:42" ht="15.75" customHeight="1" x14ac:dyDescent="0.45">
      <c r="A119" s="7">
        <v>6731898059</v>
      </c>
      <c r="B119" s="7">
        <v>795</v>
      </c>
      <c r="C119" s="43" t="s">
        <v>147</v>
      </c>
      <c r="D119" s="7" t="s">
        <v>148</v>
      </c>
      <c r="G119" s="13">
        <f>18/31*528.46</f>
        <v>306.8477419354839</v>
      </c>
      <c r="H119" s="13">
        <v>528.46</v>
      </c>
      <c r="I119" s="13">
        <v>528.46</v>
      </c>
      <c r="J119" s="13">
        <v>528.46</v>
      </c>
      <c r="K119" s="13">
        <v>528.46</v>
      </c>
      <c r="L119" s="13">
        <v>528.46</v>
      </c>
      <c r="M119" s="13">
        <v>528.46</v>
      </c>
      <c r="N119" s="13">
        <v>528.46</v>
      </c>
      <c r="O119" s="13">
        <v>528.46</v>
      </c>
      <c r="P119" s="13">
        <v>528.46</v>
      </c>
      <c r="Q119" s="13">
        <v>528.46</v>
      </c>
      <c r="R119" s="72">
        <f>PRODUCT(Q119*1.15)</f>
        <v>607.72900000000004</v>
      </c>
      <c r="S119" s="13">
        <f t="shared" ref="S119:AH123" si="33">R119</f>
        <v>607.72900000000004</v>
      </c>
      <c r="T119" s="13">
        <f t="shared" si="33"/>
        <v>607.72900000000004</v>
      </c>
      <c r="U119" s="13">
        <f t="shared" si="32"/>
        <v>607.72900000000004</v>
      </c>
      <c r="V119" s="13">
        <f t="shared" si="32"/>
        <v>607.72900000000004</v>
      </c>
      <c r="W119" s="13">
        <f t="shared" si="32"/>
        <v>607.72900000000004</v>
      </c>
      <c r="X119" s="13">
        <f t="shared" si="32"/>
        <v>607.72900000000004</v>
      </c>
      <c r="Y119" s="13">
        <f t="shared" si="32"/>
        <v>607.72900000000004</v>
      </c>
      <c r="Z119" s="13">
        <f t="shared" si="32"/>
        <v>607.72900000000004</v>
      </c>
      <c r="AA119" s="13">
        <f t="shared" si="32"/>
        <v>607.72900000000004</v>
      </c>
      <c r="AB119" s="31">
        <f t="shared" si="32"/>
        <v>607.72900000000004</v>
      </c>
      <c r="AC119" s="31">
        <f t="shared" si="32"/>
        <v>607.72900000000004</v>
      </c>
      <c r="AD119" s="31">
        <f t="shared" si="32"/>
        <v>607.72900000000004</v>
      </c>
      <c r="AE119" s="31">
        <f t="shared" si="32"/>
        <v>607.72900000000004</v>
      </c>
      <c r="AF119" s="31">
        <f t="shared" si="32"/>
        <v>607.72900000000004</v>
      </c>
      <c r="AG119" s="31">
        <f t="shared" si="32"/>
        <v>607.72900000000004</v>
      </c>
      <c r="AH119" s="31">
        <f t="shared" si="32"/>
        <v>607.72900000000004</v>
      </c>
      <c r="AI119" s="31">
        <f t="shared" si="32"/>
        <v>607.72900000000004</v>
      </c>
      <c r="AJ119" s="31">
        <f t="shared" si="32"/>
        <v>607.72900000000004</v>
      </c>
      <c r="AK119" s="31">
        <f t="shared" ref="AK119:AL121" si="34">AJ119</f>
        <v>607.72900000000004</v>
      </c>
      <c r="AL119" s="31">
        <f t="shared" si="34"/>
        <v>607.72900000000004</v>
      </c>
      <c r="AM119" s="48" t="s">
        <v>4</v>
      </c>
    </row>
    <row r="120" spans="1:42" ht="18.75" customHeight="1" x14ac:dyDescent="0.45">
      <c r="A120" s="7">
        <v>6760000150</v>
      </c>
      <c r="B120" s="7">
        <v>255</v>
      </c>
      <c r="C120" s="7" t="s">
        <v>149</v>
      </c>
      <c r="D120" s="12" t="s">
        <v>150</v>
      </c>
      <c r="E120" s="13">
        <v>1150</v>
      </c>
      <c r="F120" s="13">
        <v>1150</v>
      </c>
      <c r="G120" s="13">
        <v>1150</v>
      </c>
      <c r="H120" s="13">
        <v>1150</v>
      </c>
      <c r="I120" s="13">
        <v>1150</v>
      </c>
      <c r="J120" s="20">
        <v>1150</v>
      </c>
      <c r="K120" s="20">
        <v>1150</v>
      </c>
      <c r="L120" s="20">
        <v>1150</v>
      </c>
      <c r="M120" s="20">
        <v>1150</v>
      </c>
      <c r="N120" s="13">
        <v>1150</v>
      </c>
      <c r="O120" s="13">
        <v>1150</v>
      </c>
      <c r="P120" s="13">
        <v>1150</v>
      </c>
      <c r="Q120" s="39">
        <f>P120*1.15</f>
        <v>1322.5</v>
      </c>
      <c r="R120" s="13">
        <f>Q120</f>
        <v>1322.5</v>
      </c>
      <c r="S120" s="13">
        <f t="shared" si="33"/>
        <v>1322.5</v>
      </c>
      <c r="T120" s="13">
        <f t="shared" si="33"/>
        <v>1322.5</v>
      </c>
      <c r="U120" s="13">
        <f t="shared" si="32"/>
        <v>1322.5</v>
      </c>
      <c r="V120" s="13">
        <f t="shared" si="32"/>
        <v>1322.5</v>
      </c>
      <c r="W120" s="13">
        <f t="shared" si="32"/>
        <v>1322.5</v>
      </c>
      <c r="X120" s="13">
        <f t="shared" si="32"/>
        <v>1322.5</v>
      </c>
      <c r="Y120" s="13">
        <f t="shared" si="32"/>
        <v>1322.5</v>
      </c>
      <c r="Z120" s="13">
        <f t="shared" si="32"/>
        <v>1322.5</v>
      </c>
      <c r="AA120" s="13">
        <f t="shared" si="32"/>
        <v>1322.5</v>
      </c>
      <c r="AB120" s="31">
        <f t="shared" si="32"/>
        <v>1322.5</v>
      </c>
      <c r="AC120" s="31">
        <f t="shared" si="32"/>
        <v>1322.5</v>
      </c>
      <c r="AD120" s="31">
        <f t="shared" si="32"/>
        <v>1322.5</v>
      </c>
      <c r="AE120" s="31">
        <f t="shared" si="32"/>
        <v>1322.5</v>
      </c>
      <c r="AF120" s="31">
        <f t="shared" si="32"/>
        <v>1322.5</v>
      </c>
      <c r="AG120" s="31">
        <f t="shared" si="32"/>
        <v>1322.5</v>
      </c>
      <c r="AH120" s="31">
        <f t="shared" si="32"/>
        <v>1322.5</v>
      </c>
      <c r="AI120" s="31">
        <f t="shared" si="32"/>
        <v>1322.5</v>
      </c>
      <c r="AJ120" s="31">
        <f t="shared" si="32"/>
        <v>1322.5</v>
      </c>
      <c r="AK120" s="31">
        <f t="shared" si="34"/>
        <v>1322.5</v>
      </c>
      <c r="AL120" s="31">
        <f t="shared" si="34"/>
        <v>1322.5</v>
      </c>
      <c r="AM120" s="48" t="s">
        <v>151</v>
      </c>
    </row>
    <row r="121" spans="1:42" customFormat="1" ht="18.75" customHeight="1" x14ac:dyDescent="0.45">
      <c r="A121" s="73">
        <v>9950043000</v>
      </c>
      <c r="B121" s="73">
        <v>252</v>
      </c>
      <c r="C121" s="73" t="s">
        <v>152</v>
      </c>
      <c r="D121" s="74" t="s">
        <v>153</v>
      </c>
      <c r="E121" s="75">
        <v>1450</v>
      </c>
      <c r="F121" s="75">
        <v>1450</v>
      </c>
      <c r="G121" s="75">
        <v>1450</v>
      </c>
      <c r="H121" s="75">
        <v>1450</v>
      </c>
      <c r="I121" s="75">
        <v>1450</v>
      </c>
      <c r="J121" s="76">
        <v>1450</v>
      </c>
      <c r="K121" s="76">
        <v>1450</v>
      </c>
      <c r="L121" s="75">
        <v>1450</v>
      </c>
      <c r="M121" s="75">
        <v>1450</v>
      </c>
      <c r="N121" s="75">
        <v>1450</v>
      </c>
      <c r="O121" s="75">
        <v>1450</v>
      </c>
      <c r="P121" s="75">
        <v>1450</v>
      </c>
      <c r="Q121" s="77">
        <f>P121*1.15</f>
        <v>1667.4999999999998</v>
      </c>
      <c r="R121" s="75">
        <f>Q121</f>
        <v>1667.4999999999998</v>
      </c>
      <c r="S121" s="75">
        <f t="shared" si="33"/>
        <v>1667.4999999999998</v>
      </c>
      <c r="T121" s="75">
        <f t="shared" si="33"/>
        <v>1667.4999999999998</v>
      </c>
      <c r="U121" s="75">
        <f t="shared" si="32"/>
        <v>1667.4999999999998</v>
      </c>
      <c r="V121" s="75">
        <f t="shared" si="32"/>
        <v>1667.4999999999998</v>
      </c>
      <c r="W121" s="75">
        <f t="shared" si="32"/>
        <v>1667.4999999999998</v>
      </c>
      <c r="X121" s="75">
        <f t="shared" si="32"/>
        <v>1667.4999999999998</v>
      </c>
      <c r="Y121" s="75">
        <f t="shared" si="32"/>
        <v>1667.4999999999998</v>
      </c>
      <c r="Z121" s="75">
        <f t="shared" si="32"/>
        <v>1667.4999999999998</v>
      </c>
      <c r="AA121" s="75">
        <f t="shared" si="32"/>
        <v>1667.4999999999998</v>
      </c>
      <c r="AB121" s="78">
        <f t="shared" si="32"/>
        <v>1667.4999999999998</v>
      </c>
      <c r="AC121" s="78">
        <f t="shared" si="32"/>
        <v>1667.4999999999998</v>
      </c>
      <c r="AD121" s="78">
        <f t="shared" si="32"/>
        <v>1667.4999999999998</v>
      </c>
      <c r="AE121" s="78">
        <f t="shared" si="32"/>
        <v>1667.4999999999998</v>
      </c>
      <c r="AF121" s="78">
        <f t="shared" si="32"/>
        <v>1667.4999999999998</v>
      </c>
      <c r="AG121" s="78">
        <f t="shared" si="32"/>
        <v>1667.4999999999998</v>
      </c>
      <c r="AH121" s="78">
        <f t="shared" si="32"/>
        <v>1667.4999999999998</v>
      </c>
      <c r="AI121" s="78">
        <f t="shared" si="32"/>
        <v>1667.4999999999998</v>
      </c>
      <c r="AJ121" s="78">
        <f t="shared" si="32"/>
        <v>1667.4999999999998</v>
      </c>
      <c r="AK121" s="78">
        <f t="shared" si="34"/>
        <v>1667.4999999999998</v>
      </c>
      <c r="AL121" s="79" t="s">
        <v>4</v>
      </c>
      <c r="AM121" s="80"/>
      <c r="AN121" s="80"/>
    </row>
    <row r="122" spans="1:42" customFormat="1" ht="18.649999999999999" customHeight="1" x14ac:dyDescent="0.45">
      <c r="A122" s="73">
        <v>5252615933</v>
      </c>
      <c r="B122" s="73">
        <v>21</v>
      </c>
      <c r="C122" s="81" t="s">
        <v>154</v>
      </c>
      <c r="D122" s="74" t="s">
        <v>155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s="75">
        <f>690/2</f>
        <v>345</v>
      </c>
      <c r="L122" s="75">
        <f>690/2</f>
        <v>345</v>
      </c>
      <c r="M122" s="75">
        <f>690/2</f>
        <v>345</v>
      </c>
      <c r="N122" s="75">
        <f>690</f>
        <v>690</v>
      </c>
      <c r="O122" s="75">
        <f>690</f>
        <v>690</v>
      </c>
      <c r="P122" s="75">
        <f>690</f>
        <v>690</v>
      </c>
      <c r="Q122" s="75">
        <f>690</f>
        <v>690</v>
      </c>
      <c r="R122" s="75">
        <f>690</f>
        <v>690</v>
      </c>
      <c r="S122" s="75">
        <f t="shared" si="33"/>
        <v>690</v>
      </c>
      <c r="T122" s="75">
        <f t="shared" si="33"/>
        <v>690</v>
      </c>
      <c r="U122" s="75">
        <f t="shared" si="32"/>
        <v>690</v>
      </c>
      <c r="V122" s="75">
        <f t="shared" si="32"/>
        <v>690</v>
      </c>
      <c r="W122" s="75">
        <f t="shared" si="32"/>
        <v>690</v>
      </c>
      <c r="X122" s="75">
        <f t="shared" si="32"/>
        <v>690</v>
      </c>
      <c r="Y122" s="75">
        <f t="shared" si="32"/>
        <v>690</v>
      </c>
      <c r="Z122" s="75">
        <f t="shared" si="32"/>
        <v>690</v>
      </c>
      <c r="AA122" s="75">
        <f t="shared" si="32"/>
        <v>690</v>
      </c>
      <c r="AB122" s="78">
        <f t="shared" si="32"/>
        <v>690</v>
      </c>
      <c r="AC122" s="78">
        <f t="shared" si="32"/>
        <v>690</v>
      </c>
      <c r="AD122" s="78">
        <f t="shared" si="32"/>
        <v>690</v>
      </c>
      <c r="AE122" s="78">
        <f t="shared" si="32"/>
        <v>690</v>
      </c>
      <c r="AF122" s="78">
        <f t="shared" si="32"/>
        <v>690</v>
      </c>
      <c r="AG122" s="78">
        <f t="shared" si="32"/>
        <v>690</v>
      </c>
      <c r="AH122" s="78">
        <f t="shared" si="32"/>
        <v>690</v>
      </c>
      <c r="AI122" s="78">
        <f t="shared" si="32"/>
        <v>690</v>
      </c>
      <c r="AJ122" s="78">
        <f t="shared" si="32"/>
        <v>690</v>
      </c>
      <c r="AK122" s="78">
        <v>99</v>
      </c>
      <c r="AL122" s="78">
        <v>99</v>
      </c>
      <c r="AM122" s="78">
        <v>99</v>
      </c>
      <c r="AN122" s="82" t="s">
        <v>4</v>
      </c>
    </row>
    <row r="123" spans="1:42" ht="15.75" customHeight="1" x14ac:dyDescent="0.45">
      <c r="A123" s="73">
        <v>5840358054</v>
      </c>
      <c r="B123" s="73">
        <v>745</v>
      </c>
      <c r="C123" s="73" t="s">
        <v>156</v>
      </c>
      <c r="D123" s="73" t="s">
        <v>157</v>
      </c>
      <c r="E123" s="75">
        <v>1000</v>
      </c>
      <c r="F123" s="75">
        <v>1000</v>
      </c>
      <c r="G123" s="75">
        <v>1000</v>
      </c>
      <c r="H123" s="75">
        <v>1000</v>
      </c>
      <c r="I123" s="75">
        <v>1000</v>
      </c>
      <c r="J123" s="76">
        <v>1000</v>
      </c>
      <c r="K123" s="76">
        <v>1000</v>
      </c>
      <c r="L123" s="76">
        <v>1000</v>
      </c>
      <c r="M123" s="75">
        <v>1000</v>
      </c>
      <c r="N123" s="75">
        <v>1000</v>
      </c>
      <c r="O123" s="75">
        <v>1000</v>
      </c>
      <c r="P123" s="75">
        <v>1000</v>
      </c>
      <c r="Q123" s="75">
        <v>1000</v>
      </c>
      <c r="R123" s="75">
        <v>1000</v>
      </c>
      <c r="S123" s="75">
        <f t="shared" si="33"/>
        <v>1000</v>
      </c>
      <c r="T123" s="75">
        <f t="shared" si="33"/>
        <v>1000</v>
      </c>
      <c r="U123" s="75">
        <f t="shared" si="33"/>
        <v>1000</v>
      </c>
      <c r="V123" s="75">
        <f t="shared" si="33"/>
        <v>1000</v>
      </c>
      <c r="W123" s="75">
        <f t="shared" si="33"/>
        <v>1000</v>
      </c>
      <c r="X123" s="75">
        <f t="shared" si="33"/>
        <v>1000</v>
      </c>
      <c r="Y123" s="75">
        <f t="shared" si="33"/>
        <v>1000</v>
      </c>
      <c r="Z123" s="75">
        <f t="shared" si="33"/>
        <v>1000</v>
      </c>
      <c r="AA123" s="75">
        <f t="shared" si="33"/>
        <v>1000</v>
      </c>
      <c r="AB123" s="78">
        <f t="shared" si="33"/>
        <v>1000</v>
      </c>
      <c r="AC123" s="78">
        <f t="shared" si="33"/>
        <v>1000</v>
      </c>
      <c r="AD123" s="78">
        <f t="shared" si="33"/>
        <v>1000</v>
      </c>
      <c r="AE123" s="78">
        <f t="shared" si="33"/>
        <v>1000</v>
      </c>
      <c r="AF123" s="78">
        <f t="shared" si="33"/>
        <v>1000</v>
      </c>
      <c r="AG123" s="78">
        <f t="shared" si="33"/>
        <v>1000</v>
      </c>
      <c r="AH123" s="78">
        <f t="shared" si="33"/>
        <v>1000</v>
      </c>
      <c r="AI123" s="78">
        <f t="shared" si="32"/>
        <v>1000</v>
      </c>
      <c r="AJ123" s="78">
        <f t="shared" si="32"/>
        <v>1000</v>
      </c>
      <c r="AK123" s="78">
        <f t="shared" ref="AK123:AN123" si="35">AJ123</f>
        <v>1000</v>
      </c>
      <c r="AL123" s="78">
        <f t="shared" si="35"/>
        <v>1000</v>
      </c>
      <c r="AM123" s="78">
        <f t="shared" si="35"/>
        <v>1000</v>
      </c>
      <c r="AN123" s="78">
        <f t="shared" si="35"/>
        <v>1000</v>
      </c>
      <c r="AO123" s="83" t="s">
        <v>158</v>
      </c>
    </row>
    <row r="124" spans="1:42" customFormat="1" ht="18.5" x14ac:dyDescent="0.45">
      <c r="A124" s="73">
        <v>1133042357</v>
      </c>
      <c r="B124" s="73">
        <v>1000000048</v>
      </c>
      <c r="C124" s="73" t="s">
        <v>159</v>
      </c>
      <c r="D124" s="73" t="s">
        <v>160</v>
      </c>
      <c r="Q124" s="84"/>
      <c r="AB124" s="85">
        <f>17/31*1672</f>
        <v>916.90322580645159</v>
      </c>
      <c r="AC124" s="86">
        <v>1672</v>
      </c>
      <c r="AD124" s="86">
        <v>1672</v>
      </c>
      <c r="AE124" s="86">
        <v>1672</v>
      </c>
      <c r="AF124" s="86">
        <v>1672</v>
      </c>
      <c r="AG124" s="86">
        <v>1672</v>
      </c>
      <c r="AH124" s="86">
        <v>1672</v>
      </c>
      <c r="AI124" s="86">
        <v>1672</v>
      </c>
      <c r="AJ124" s="86">
        <v>1672</v>
      </c>
      <c r="AK124" s="86">
        <v>1672</v>
      </c>
      <c r="AL124" s="86">
        <v>1672</v>
      </c>
      <c r="AM124" s="86">
        <v>1672</v>
      </c>
      <c r="AN124" s="86">
        <v>1672</v>
      </c>
      <c r="AO124" s="86">
        <v>1672</v>
      </c>
      <c r="AP124" s="87" t="s">
        <v>4</v>
      </c>
    </row>
    <row r="125" spans="1:42" customFormat="1" ht="15.75" customHeight="1" x14ac:dyDescent="0.45">
      <c r="A125" s="73">
        <v>9520002091</v>
      </c>
      <c r="B125" s="73">
        <v>469</v>
      </c>
      <c r="C125" s="73" t="s">
        <v>161</v>
      </c>
      <c r="D125" s="74" t="s">
        <v>162</v>
      </c>
      <c r="E125" s="75">
        <v>808</v>
      </c>
      <c r="F125" s="75">
        <v>808</v>
      </c>
      <c r="G125" s="75">
        <v>808</v>
      </c>
      <c r="H125" s="75">
        <v>808</v>
      </c>
      <c r="I125" s="75">
        <v>808</v>
      </c>
      <c r="J125" s="75">
        <v>808</v>
      </c>
      <c r="K125" s="75">
        <v>808</v>
      </c>
      <c r="L125" s="75">
        <v>808</v>
      </c>
      <c r="M125" s="75">
        <v>808</v>
      </c>
      <c r="N125" s="75">
        <v>808</v>
      </c>
      <c r="O125" s="75">
        <v>808</v>
      </c>
      <c r="P125" s="75">
        <v>808</v>
      </c>
      <c r="Q125" s="75">
        <v>808</v>
      </c>
      <c r="R125" s="88">
        <f>PRODUCT(Q125*1.15)</f>
        <v>929.19999999999993</v>
      </c>
      <c r="S125" s="75">
        <f t="shared" ref="S125:AH127" si="36">R125</f>
        <v>929.19999999999993</v>
      </c>
      <c r="T125" s="75">
        <f t="shared" si="36"/>
        <v>929.19999999999993</v>
      </c>
      <c r="U125" s="75">
        <f t="shared" si="36"/>
        <v>929.19999999999993</v>
      </c>
      <c r="V125" s="75">
        <f t="shared" si="36"/>
        <v>929.19999999999993</v>
      </c>
      <c r="W125" s="75">
        <f t="shared" si="36"/>
        <v>929.19999999999993</v>
      </c>
      <c r="X125" s="75">
        <f t="shared" si="36"/>
        <v>929.19999999999993</v>
      </c>
      <c r="Y125" s="75">
        <f t="shared" si="36"/>
        <v>929.19999999999993</v>
      </c>
      <c r="Z125" s="75">
        <f t="shared" si="36"/>
        <v>929.19999999999993</v>
      </c>
      <c r="AA125" s="75">
        <f t="shared" si="36"/>
        <v>929.19999999999993</v>
      </c>
      <c r="AB125" s="78">
        <f t="shared" si="36"/>
        <v>929.19999999999993</v>
      </c>
      <c r="AC125" s="78">
        <f t="shared" si="36"/>
        <v>929.19999999999993</v>
      </c>
      <c r="AD125" s="78">
        <f t="shared" si="36"/>
        <v>929.19999999999993</v>
      </c>
      <c r="AE125" s="78">
        <f t="shared" si="36"/>
        <v>929.19999999999993</v>
      </c>
      <c r="AF125" s="78">
        <v>929.19999999999993</v>
      </c>
      <c r="AG125" s="89">
        <v>452.2</v>
      </c>
      <c r="AH125" s="90">
        <v>452.2</v>
      </c>
      <c r="AI125" s="90">
        <v>452.2</v>
      </c>
      <c r="AJ125" s="90">
        <v>452.2</v>
      </c>
      <c r="AK125" s="90">
        <v>452.2</v>
      </c>
      <c r="AL125" s="90">
        <v>452.2</v>
      </c>
      <c r="AM125" s="89">
        <v>929.2</v>
      </c>
      <c r="AN125" s="78">
        <v>929.2</v>
      </c>
      <c r="AO125" s="87" t="s">
        <v>4</v>
      </c>
    </row>
    <row r="126" spans="1:42" customFormat="1" ht="15.75" customHeight="1" thickBot="1" x14ac:dyDescent="0.5">
      <c r="A126" s="73">
        <v>6762484040</v>
      </c>
      <c r="B126" s="73">
        <v>688</v>
      </c>
      <c r="C126" s="73" t="s">
        <v>163</v>
      </c>
      <c r="D126" s="73" t="s">
        <v>164</v>
      </c>
      <c r="E126" s="75">
        <v>1010</v>
      </c>
      <c r="F126" s="75">
        <v>1010</v>
      </c>
      <c r="G126" s="75">
        <v>1010</v>
      </c>
      <c r="H126" s="75">
        <v>1010</v>
      </c>
      <c r="I126" s="75">
        <v>1010</v>
      </c>
      <c r="J126" s="76">
        <v>1010</v>
      </c>
      <c r="K126" s="76">
        <v>1010</v>
      </c>
      <c r="L126" s="76">
        <v>1010</v>
      </c>
      <c r="M126" s="75">
        <v>1010</v>
      </c>
      <c r="N126" s="75">
        <v>1010</v>
      </c>
      <c r="O126" s="75">
        <v>1010</v>
      </c>
      <c r="P126" s="75">
        <v>1010</v>
      </c>
      <c r="Q126" s="91">
        <v>1010</v>
      </c>
      <c r="R126" s="92">
        <f>Q126*1.15</f>
        <v>1161.5</v>
      </c>
      <c r="S126" s="75">
        <f t="shared" si="36"/>
        <v>1161.5</v>
      </c>
      <c r="T126" s="75">
        <f t="shared" si="36"/>
        <v>1161.5</v>
      </c>
      <c r="U126" s="75">
        <f t="shared" si="36"/>
        <v>1161.5</v>
      </c>
      <c r="V126" s="75">
        <f t="shared" si="36"/>
        <v>1161.5</v>
      </c>
      <c r="W126" s="75">
        <f t="shared" si="36"/>
        <v>1161.5</v>
      </c>
      <c r="X126" s="75">
        <f t="shared" si="36"/>
        <v>1161.5</v>
      </c>
      <c r="Y126" s="75">
        <f t="shared" si="36"/>
        <v>1161.5</v>
      </c>
      <c r="Z126" s="75">
        <f t="shared" si="36"/>
        <v>1161.5</v>
      </c>
      <c r="AA126" s="75">
        <f t="shared" si="36"/>
        <v>1161.5</v>
      </c>
      <c r="AB126" s="78">
        <f t="shared" si="36"/>
        <v>1161.5</v>
      </c>
      <c r="AC126" s="78">
        <f t="shared" si="36"/>
        <v>1161.5</v>
      </c>
      <c r="AD126" s="78">
        <f t="shared" si="36"/>
        <v>1161.5</v>
      </c>
      <c r="AE126" s="78">
        <f t="shared" si="36"/>
        <v>1161.5</v>
      </c>
      <c r="AF126" s="78">
        <f t="shared" si="36"/>
        <v>1161.5</v>
      </c>
      <c r="AG126" s="78">
        <f t="shared" si="36"/>
        <v>1161.5</v>
      </c>
      <c r="AH126" s="78">
        <f t="shared" si="36"/>
        <v>1161.5</v>
      </c>
      <c r="AI126" s="78">
        <f t="shared" ref="AI126:AN127" si="37">AH126</f>
        <v>1161.5</v>
      </c>
      <c r="AJ126" s="78">
        <f t="shared" si="37"/>
        <v>1161.5</v>
      </c>
      <c r="AK126" s="78">
        <f t="shared" si="37"/>
        <v>1161.5</v>
      </c>
      <c r="AL126" s="78">
        <f t="shared" si="37"/>
        <v>1161.5</v>
      </c>
      <c r="AM126" s="78">
        <f t="shared" si="37"/>
        <v>1161.5</v>
      </c>
      <c r="AN126" s="78">
        <f t="shared" si="37"/>
        <v>1161.5</v>
      </c>
      <c r="AO126" s="82" t="s">
        <v>4</v>
      </c>
    </row>
    <row r="127" spans="1:42" customFormat="1" ht="18.5" x14ac:dyDescent="0.45">
      <c r="A127" s="73">
        <v>6751209442</v>
      </c>
      <c r="B127" s="73">
        <v>950</v>
      </c>
      <c r="C127" s="73" t="s">
        <v>165</v>
      </c>
      <c r="D127" s="74" t="s">
        <v>166</v>
      </c>
      <c r="Q127" s="84"/>
      <c r="S127" s="75">
        <f>22/31*1875.32</f>
        <v>1330.8722580645162</v>
      </c>
      <c r="T127" s="75">
        <v>1875.32</v>
      </c>
      <c r="U127" s="75">
        <v>1875.32</v>
      </c>
      <c r="V127" s="75">
        <v>1875.32</v>
      </c>
      <c r="W127" s="75">
        <v>1875.32</v>
      </c>
      <c r="X127" s="75">
        <v>1875.32</v>
      </c>
      <c r="Y127" s="75">
        <v>1875.32</v>
      </c>
      <c r="Z127" s="75">
        <v>1875.32</v>
      </c>
      <c r="AA127" s="75">
        <v>1875.32</v>
      </c>
      <c r="AB127" s="93">
        <f>AA127</f>
        <v>1875.32</v>
      </c>
      <c r="AC127" s="93">
        <f>AB127</f>
        <v>1875.32</v>
      </c>
      <c r="AD127" s="93">
        <f>AC127</f>
        <v>1875.32</v>
      </c>
      <c r="AE127" s="93">
        <f>AD127</f>
        <v>1875.32</v>
      </c>
      <c r="AF127" s="93">
        <f t="shared" si="36"/>
        <v>1875.32</v>
      </c>
      <c r="AG127" s="93">
        <f t="shared" si="36"/>
        <v>1875.32</v>
      </c>
      <c r="AH127" s="93">
        <f t="shared" si="36"/>
        <v>1875.32</v>
      </c>
      <c r="AI127" s="93">
        <f t="shared" si="37"/>
        <v>1875.32</v>
      </c>
      <c r="AJ127" s="93">
        <f t="shared" si="37"/>
        <v>1875.32</v>
      </c>
      <c r="AK127" s="93">
        <f t="shared" si="37"/>
        <v>1875.32</v>
      </c>
      <c r="AL127" s="93">
        <f t="shared" si="37"/>
        <v>1875.32</v>
      </c>
      <c r="AM127" s="93">
        <f t="shared" si="37"/>
        <v>1875.32</v>
      </c>
      <c r="AN127" s="93">
        <f t="shared" si="37"/>
        <v>1875.32</v>
      </c>
      <c r="AO127" s="94" t="s">
        <v>4</v>
      </c>
    </row>
    <row r="128" spans="1:42" ht="15.75" customHeight="1" x14ac:dyDescent="0.45">
      <c r="A128" s="7"/>
      <c r="B128" s="7"/>
      <c r="C128" s="7"/>
      <c r="D128" s="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</row>
    <row r="129" spans="1:45" ht="18.5" x14ac:dyDescent="0.45">
      <c r="A129" s="7"/>
      <c r="B129" s="7"/>
      <c r="C129" s="7"/>
      <c r="D129" s="7" t="s">
        <v>167</v>
      </c>
      <c r="L129" s="26">
        <f>5/31*293.3</f>
        <v>47.306451612903224</v>
      </c>
      <c r="M129" s="26">
        <v>293.3</v>
      </c>
      <c r="N129" s="26">
        <v>293.3</v>
      </c>
      <c r="O129" s="26">
        <v>293.3</v>
      </c>
      <c r="P129" s="26">
        <v>293.3</v>
      </c>
      <c r="Q129" s="26">
        <v>293.3</v>
      </c>
      <c r="R129" s="26">
        <v>293.3</v>
      </c>
      <c r="S129" s="19" t="s">
        <v>4</v>
      </c>
      <c r="W129" s="26"/>
    </row>
    <row r="130" spans="1:45" ht="18.5" x14ac:dyDescent="0.45">
      <c r="A130" s="7"/>
      <c r="B130" s="7">
        <v>811</v>
      </c>
      <c r="C130" s="7"/>
      <c r="D130" s="7" t="s">
        <v>168</v>
      </c>
      <c r="I130" s="26">
        <v>419</v>
      </c>
      <c r="J130" s="26">
        <v>419</v>
      </c>
      <c r="K130" s="26">
        <v>419</v>
      </c>
      <c r="L130" s="26">
        <v>419</v>
      </c>
      <c r="M130" s="26">
        <v>419</v>
      </c>
      <c r="N130" s="26">
        <v>419</v>
      </c>
      <c r="O130" s="26">
        <v>419</v>
      </c>
      <c r="P130" s="26">
        <v>419</v>
      </c>
      <c r="Q130" s="26">
        <v>419</v>
      </c>
      <c r="R130" s="26">
        <v>419</v>
      </c>
      <c r="W130" s="26"/>
    </row>
    <row r="131" spans="1:45" ht="18.5" x14ac:dyDescent="0.45">
      <c r="A131" s="7"/>
      <c r="B131" s="7"/>
      <c r="C131" s="7"/>
      <c r="D131" s="12" t="s">
        <v>169</v>
      </c>
      <c r="F131" s="1">
        <v>59</v>
      </c>
      <c r="G131" s="1">
        <v>59</v>
      </c>
      <c r="H131" s="1">
        <v>59</v>
      </c>
      <c r="I131" s="1">
        <v>59</v>
      </c>
      <c r="J131" s="1">
        <v>59</v>
      </c>
      <c r="K131" s="1">
        <v>59</v>
      </c>
      <c r="L131" s="1">
        <v>59</v>
      </c>
      <c r="M131" s="1">
        <v>59</v>
      </c>
      <c r="N131" s="1">
        <v>59</v>
      </c>
      <c r="O131" s="1">
        <v>59</v>
      </c>
      <c r="P131" s="1">
        <v>59</v>
      </c>
      <c r="Q131" s="1">
        <v>59</v>
      </c>
      <c r="R131" s="14" t="s">
        <v>4</v>
      </c>
    </row>
    <row r="132" spans="1:45" customFormat="1" ht="15.75" customHeight="1" x14ac:dyDescent="0.45">
      <c r="A132" s="73">
        <v>9521356916</v>
      </c>
      <c r="B132" s="73">
        <v>707</v>
      </c>
      <c r="C132" s="73" t="s">
        <v>170</v>
      </c>
      <c r="D132" s="95" t="s">
        <v>171</v>
      </c>
      <c r="E132" s="75">
        <f>1483</f>
        <v>1483</v>
      </c>
      <c r="F132" s="75">
        <f>1483</f>
        <v>1483</v>
      </c>
      <c r="G132" s="75">
        <f>1483</f>
        <v>1483</v>
      </c>
      <c r="H132" s="75">
        <f t="shared" ref="H132:O132" si="38">1483+159</f>
        <v>1642</v>
      </c>
      <c r="I132" s="75">
        <f t="shared" si="38"/>
        <v>1642</v>
      </c>
      <c r="J132" s="75">
        <f t="shared" si="38"/>
        <v>1642</v>
      </c>
      <c r="K132" s="75">
        <f t="shared" si="38"/>
        <v>1642</v>
      </c>
      <c r="L132" s="75">
        <f t="shared" si="38"/>
        <v>1642</v>
      </c>
      <c r="M132" s="75">
        <f t="shared" si="38"/>
        <v>1642</v>
      </c>
      <c r="N132" s="75">
        <f t="shared" si="38"/>
        <v>1642</v>
      </c>
      <c r="O132" s="75">
        <f t="shared" si="38"/>
        <v>1642</v>
      </c>
      <c r="P132" s="96">
        <f>(1483+159+159)*0.9</f>
        <v>1620.9</v>
      </c>
      <c r="Q132" s="75">
        <f>1483+159+159</f>
        <v>1801</v>
      </c>
      <c r="R132" s="88">
        <f>Q132*1.15</f>
        <v>2071.1499999999996</v>
      </c>
      <c r="S132" s="75">
        <f t="shared" ref="S132:AP136" si="39">R132</f>
        <v>2071.1499999999996</v>
      </c>
      <c r="T132" s="75">
        <f t="shared" si="39"/>
        <v>2071.1499999999996</v>
      </c>
      <c r="U132" s="75">
        <f t="shared" si="39"/>
        <v>2071.1499999999996</v>
      </c>
      <c r="V132" s="75">
        <f t="shared" si="39"/>
        <v>2071.1499999999996</v>
      </c>
      <c r="W132" s="75">
        <f t="shared" si="39"/>
        <v>2071.1499999999996</v>
      </c>
      <c r="X132" s="75">
        <f t="shared" si="39"/>
        <v>2071.1499999999996</v>
      </c>
      <c r="Y132" s="75">
        <f t="shared" si="39"/>
        <v>2071.1499999999996</v>
      </c>
      <c r="Z132" s="75">
        <f t="shared" si="39"/>
        <v>2071.1499999999996</v>
      </c>
      <c r="AA132" s="75">
        <f t="shared" si="39"/>
        <v>2071.1499999999996</v>
      </c>
      <c r="AB132" s="78">
        <f t="shared" si="39"/>
        <v>2071.1499999999996</v>
      </c>
      <c r="AC132" s="78">
        <f t="shared" si="39"/>
        <v>2071.1499999999996</v>
      </c>
      <c r="AD132" s="78">
        <f t="shared" si="39"/>
        <v>2071.1499999999996</v>
      </c>
      <c r="AE132" s="78">
        <f t="shared" si="39"/>
        <v>2071.1499999999996</v>
      </c>
      <c r="AF132" s="78">
        <f t="shared" si="39"/>
        <v>2071.1499999999996</v>
      </c>
      <c r="AG132" s="78">
        <f t="shared" si="39"/>
        <v>2071.1499999999996</v>
      </c>
      <c r="AH132" s="78">
        <f t="shared" si="39"/>
        <v>2071.1499999999996</v>
      </c>
      <c r="AI132" s="78">
        <f t="shared" si="39"/>
        <v>2071.1499999999996</v>
      </c>
      <c r="AJ132" s="78">
        <f t="shared" si="39"/>
        <v>2071.1499999999996</v>
      </c>
      <c r="AK132" s="78">
        <f t="shared" si="39"/>
        <v>2071.1499999999996</v>
      </c>
      <c r="AL132" s="78">
        <f t="shared" si="39"/>
        <v>2071.1499999999996</v>
      </c>
      <c r="AM132" s="78">
        <f t="shared" si="39"/>
        <v>2071.1499999999996</v>
      </c>
      <c r="AN132" s="78">
        <f t="shared" si="39"/>
        <v>2071.1499999999996</v>
      </c>
      <c r="AO132" s="78">
        <f t="shared" si="39"/>
        <v>2071.1499999999996</v>
      </c>
      <c r="AP132" s="78">
        <f t="shared" si="39"/>
        <v>2071.1499999999996</v>
      </c>
      <c r="AQ132" s="94" t="s">
        <v>4</v>
      </c>
    </row>
    <row r="133" spans="1:45" customFormat="1" ht="18.75" customHeight="1" x14ac:dyDescent="0.45">
      <c r="A133" s="73">
        <v>9552376162</v>
      </c>
      <c r="B133" s="73">
        <v>345</v>
      </c>
      <c r="C133" s="73" t="s">
        <v>172</v>
      </c>
      <c r="D133" s="74" t="s">
        <v>173</v>
      </c>
      <c r="E133" s="75">
        <v>625</v>
      </c>
      <c r="F133" s="75">
        <v>625</v>
      </c>
      <c r="G133" s="75">
        <v>625</v>
      </c>
      <c r="H133" s="75">
        <v>625</v>
      </c>
      <c r="I133" s="75">
        <v>625</v>
      </c>
      <c r="J133" s="76">
        <v>625</v>
      </c>
      <c r="K133" s="76">
        <v>625</v>
      </c>
      <c r="L133" s="75">
        <v>625</v>
      </c>
      <c r="M133" s="75">
        <v>625</v>
      </c>
      <c r="N133" s="75">
        <v>625</v>
      </c>
      <c r="O133" s="75">
        <v>625</v>
      </c>
      <c r="P133" s="75">
        <v>625</v>
      </c>
      <c r="Q133" s="75">
        <v>625</v>
      </c>
      <c r="R133" s="88">
        <f>PRODUCT(Q133*1.15)</f>
        <v>718.75</v>
      </c>
      <c r="S133" s="75">
        <f t="shared" si="39"/>
        <v>718.75</v>
      </c>
      <c r="T133" s="75">
        <f t="shared" si="39"/>
        <v>718.75</v>
      </c>
      <c r="U133" s="75">
        <f t="shared" si="39"/>
        <v>718.75</v>
      </c>
      <c r="V133" s="75">
        <f t="shared" si="39"/>
        <v>718.75</v>
      </c>
      <c r="W133" s="75">
        <f t="shared" si="39"/>
        <v>718.75</v>
      </c>
      <c r="X133" s="75">
        <f t="shared" si="39"/>
        <v>718.75</v>
      </c>
      <c r="Y133" s="75">
        <f t="shared" si="39"/>
        <v>718.75</v>
      </c>
      <c r="Z133" s="75">
        <f t="shared" si="39"/>
        <v>718.75</v>
      </c>
      <c r="AA133" s="75">
        <f t="shared" si="39"/>
        <v>718.75</v>
      </c>
      <c r="AB133" s="78">
        <f t="shared" si="39"/>
        <v>718.75</v>
      </c>
      <c r="AC133" s="78">
        <f t="shared" si="39"/>
        <v>718.75</v>
      </c>
      <c r="AD133" s="78">
        <f t="shared" si="39"/>
        <v>718.75</v>
      </c>
      <c r="AE133" s="78">
        <f t="shared" si="39"/>
        <v>718.75</v>
      </c>
      <c r="AF133" s="78">
        <f t="shared" si="39"/>
        <v>718.75</v>
      </c>
      <c r="AG133" s="78">
        <f t="shared" si="39"/>
        <v>718.75</v>
      </c>
      <c r="AH133" s="78">
        <f t="shared" si="39"/>
        <v>718.75</v>
      </c>
      <c r="AI133" s="78">
        <f t="shared" si="39"/>
        <v>718.75</v>
      </c>
      <c r="AJ133" s="78">
        <f t="shared" si="39"/>
        <v>718.75</v>
      </c>
      <c r="AK133" s="78">
        <f t="shared" si="39"/>
        <v>718.75</v>
      </c>
      <c r="AL133" s="78">
        <f t="shared" si="39"/>
        <v>718.75</v>
      </c>
      <c r="AM133" s="78">
        <f t="shared" si="39"/>
        <v>718.75</v>
      </c>
      <c r="AN133" s="78">
        <f t="shared" si="39"/>
        <v>718.75</v>
      </c>
      <c r="AO133" s="78">
        <f t="shared" si="39"/>
        <v>718.75</v>
      </c>
      <c r="AP133" s="78">
        <f t="shared" si="39"/>
        <v>718.75</v>
      </c>
      <c r="AQ133" s="82" t="s">
        <v>174</v>
      </c>
    </row>
    <row r="134" spans="1:45" customFormat="1" ht="18.75" customHeight="1" x14ac:dyDescent="0.45">
      <c r="A134" s="73">
        <v>5252800889</v>
      </c>
      <c r="B134" s="73">
        <v>580</v>
      </c>
      <c r="C134" s="73" t="s">
        <v>175</v>
      </c>
      <c r="D134" s="74" t="s">
        <v>176</v>
      </c>
      <c r="E134" s="75">
        <v>1057</v>
      </c>
      <c r="F134" s="75">
        <v>1057</v>
      </c>
      <c r="G134" s="75">
        <v>1057</v>
      </c>
      <c r="H134" s="75">
        <v>1057</v>
      </c>
      <c r="I134" s="75">
        <v>1057</v>
      </c>
      <c r="J134" s="76">
        <v>1057</v>
      </c>
      <c r="K134" s="76">
        <v>1057</v>
      </c>
      <c r="L134" s="76">
        <v>1057</v>
      </c>
      <c r="M134" s="75">
        <v>1057</v>
      </c>
      <c r="N134" s="75">
        <v>1057</v>
      </c>
      <c r="O134" s="75">
        <v>1057</v>
      </c>
      <c r="P134" s="75">
        <v>1057</v>
      </c>
      <c r="Q134" s="75">
        <v>1057</v>
      </c>
      <c r="R134" s="97">
        <f>Q134*1.15</f>
        <v>1215.55</v>
      </c>
      <c r="S134" s="75">
        <f t="shared" si="39"/>
        <v>1215.55</v>
      </c>
      <c r="T134" s="75">
        <f t="shared" si="39"/>
        <v>1215.55</v>
      </c>
      <c r="U134" s="75">
        <f t="shared" si="39"/>
        <v>1215.55</v>
      </c>
      <c r="V134" s="75">
        <f t="shared" si="39"/>
        <v>1215.55</v>
      </c>
      <c r="W134" s="75">
        <f t="shared" si="39"/>
        <v>1215.55</v>
      </c>
      <c r="X134" s="75">
        <f t="shared" si="39"/>
        <v>1215.55</v>
      </c>
      <c r="Y134" s="75">
        <f t="shared" si="39"/>
        <v>1215.55</v>
      </c>
      <c r="Z134" s="75">
        <f t="shared" si="39"/>
        <v>1215.55</v>
      </c>
      <c r="AA134" s="75">
        <f t="shared" si="39"/>
        <v>1215.55</v>
      </c>
      <c r="AB134" s="78">
        <f t="shared" si="39"/>
        <v>1215.55</v>
      </c>
      <c r="AC134" s="78">
        <f t="shared" si="39"/>
        <v>1215.55</v>
      </c>
      <c r="AD134" s="78">
        <f t="shared" si="39"/>
        <v>1215.55</v>
      </c>
      <c r="AE134" s="78">
        <f t="shared" si="39"/>
        <v>1215.55</v>
      </c>
      <c r="AF134" s="78">
        <f t="shared" si="39"/>
        <v>1215.55</v>
      </c>
      <c r="AG134" s="78">
        <f t="shared" si="39"/>
        <v>1215.55</v>
      </c>
      <c r="AH134" s="89">
        <f>1215.55+20/30*169</f>
        <v>1328.2166666666667</v>
      </c>
      <c r="AI134" s="78">
        <f>AG134+169</f>
        <v>1384.55</v>
      </c>
      <c r="AJ134" s="78">
        <v>1384.55</v>
      </c>
      <c r="AK134" s="98">
        <f>AJ134+7/30*169</f>
        <v>1423.9833333333333</v>
      </c>
      <c r="AL134" s="78">
        <f>AJ134+169</f>
        <v>1553.55</v>
      </c>
      <c r="AM134" s="78">
        <v>1553.55</v>
      </c>
      <c r="AN134" s="78">
        <v>1553.55</v>
      </c>
      <c r="AO134" s="98">
        <f>AN134+159+159</f>
        <v>1871.55</v>
      </c>
      <c r="AP134" s="78">
        <v>1871.55</v>
      </c>
      <c r="AQ134" s="78">
        <v>1871.55</v>
      </c>
      <c r="AR134" s="82" t="s">
        <v>4</v>
      </c>
    </row>
    <row r="135" spans="1:45" customFormat="1" ht="15.75" customHeight="1" x14ac:dyDescent="0.45">
      <c r="A135" s="73">
        <v>8952237825</v>
      </c>
      <c r="B135" s="73">
        <v>689</v>
      </c>
      <c r="C135" s="73" t="s">
        <v>177</v>
      </c>
      <c r="D135" s="99" t="s">
        <v>178</v>
      </c>
      <c r="E135" s="75">
        <v>726</v>
      </c>
      <c r="F135" s="75">
        <v>726</v>
      </c>
      <c r="G135" s="75">
        <v>726</v>
      </c>
      <c r="H135" s="75">
        <v>726</v>
      </c>
      <c r="I135" s="75">
        <v>726</v>
      </c>
      <c r="J135" s="75">
        <v>726</v>
      </c>
      <c r="K135" s="75">
        <v>726</v>
      </c>
      <c r="L135" s="75">
        <v>726</v>
      </c>
      <c r="M135" s="75">
        <v>726</v>
      </c>
      <c r="N135" s="75">
        <v>726</v>
      </c>
      <c r="O135" s="75">
        <v>726</v>
      </c>
      <c r="P135" s="75">
        <v>726</v>
      </c>
      <c r="Q135" s="75">
        <v>726</v>
      </c>
      <c r="R135" s="75">
        <v>726</v>
      </c>
      <c r="S135" s="75">
        <v>726</v>
      </c>
      <c r="T135" s="75">
        <f t="shared" si="39"/>
        <v>726</v>
      </c>
      <c r="U135" s="75">
        <f t="shared" si="39"/>
        <v>726</v>
      </c>
      <c r="V135" s="75">
        <f t="shared" si="39"/>
        <v>726</v>
      </c>
      <c r="W135" s="75">
        <f t="shared" si="39"/>
        <v>726</v>
      </c>
      <c r="X135" s="75">
        <f t="shared" si="39"/>
        <v>726</v>
      </c>
      <c r="Y135" s="75">
        <f t="shared" si="39"/>
        <v>726</v>
      </c>
      <c r="Z135" s="75">
        <f t="shared" si="39"/>
        <v>726</v>
      </c>
      <c r="AA135" s="75">
        <f t="shared" si="39"/>
        <v>726</v>
      </c>
      <c r="AB135" s="75">
        <f t="shared" si="39"/>
        <v>726</v>
      </c>
      <c r="AC135" s="75">
        <f t="shared" si="39"/>
        <v>726</v>
      </c>
      <c r="AD135" s="75">
        <f t="shared" si="39"/>
        <v>726</v>
      </c>
      <c r="AE135" s="75">
        <f t="shared" si="39"/>
        <v>726</v>
      </c>
      <c r="AF135" s="100">
        <f t="shared" si="39"/>
        <v>726</v>
      </c>
      <c r="AG135" s="100">
        <f t="shared" si="39"/>
        <v>726</v>
      </c>
      <c r="AH135" s="100">
        <f t="shared" si="39"/>
        <v>726</v>
      </c>
      <c r="AI135" s="101">
        <v>726</v>
      </c>
      <c r="AJ135" s="101">
        <v>726</v>
      </c>
      <c r="AK135" s="101">
        <v>726</v>
      </c>
      <c r="AL135" s="101">
        <v>726</v>
      </c>
      <c r="AM135" s="101">
        <v>726</v>
      </c>
      <c r="AN135" s="101">
        <v>726</v>
      </c>
      <c r="AO135" s="82" t="s">
        <v>4</v>
      </c>
    </row>
    <row r="136" spans="1:45" customFormat="1" ht="18.5" x14ac:dyDescent="0.45">
      <c r="A136" s="73">
        <v>6312291826</v>
      </c>
      <c r="B136" s="73"/>
      <c r="C136" s="73"/>
      <c r="D136" s="73" t="s">
        <v>179</v>
      </c>
      <c r="E136" s="102">
        <v>459</v>
      </c>
      <c r="F136" s="102">
        <v>459</v>
      </c>
      <c r="G136" s="102">
        <v>459</v>
      </c>
      <c r="H136" s="102">
        <v>459</v>
      </c>
      <c r="I136" s="102">
        <v>459</v>
      </c>
      <c r="J136" s="102">
        <v>459</v>
      </c>
      <c r="K136" s="102">
        <v>459</v>
      </c>
      <c r="L136" s="102">
        <v>459</v>
      </c>
      <c r="M136" s="102">
        <v>459</v>
      </c>
      <c r="N136" s="102">
        <v>459</v>
      </c>
      <c r="O136" s="102">
        <v>459</v>
      </c>
      <c r="P136" s="102">
        <v>459</v>
      </c>
      <c r="Q136" s="102">
        <v>459</v>
      </c>
      <c r="R136" s="102">
        <v>459</v>
      </c>
      <c r="S136" s="102">
        <v>459</v>
      </c>
      <c r="T136" s="102">
        <v>459</v>
      </c>
      <c r="U136" s="102">
        <v>459</v>
      </c>
      <c r="V136" s="102">
        <f t="shared" si="39"/>
        <v>459</v>
      </c>
      <c r="W136" s="102">
        <f t="shared" si="39"/>
        <v>459</v>
      </c>
      <c r="X136" s="103">
        <f t="shared" si="39"/>
        <v>459</v>
      </c>
      <c r="Y136" s="103">
        <f t="shared" si="39"/>
        <v>459</v>
      </c>
      <c r="Z136" s="103">
        <f t="shared" si="39"/>
        <v>459</v>
      </c>
      <c r="AA136" s="103">
        <f t="shared" si="39"/>
        <v>459</v>
      </c>
      <c r="AB136" s="103">
        <f t="shared" si="39"/>
        <v>459</v>
      </c>
      <c r="AC136" s="103">
        <f t="shared" si="39"/>
        <v>459</v>
      </c>
      <c r="AD136" s="103">
        <f t="shared" si="39"/>
        <v>459</v>
      </c>
      <c r="AE136" s="103">
        <f t="shared" si="39"/>
        <v>459</v>
      </c>
      <c r="AF136" s="103">
        <f t="shared" si="39"/>
        <v>459</v>
      </c>
      <c r="AG136" s="103">
        <f t="shared" si="39"/>
        <v>459</v>
      </c>
      <c r="AH136" s="103">
        <f t="shared" si="39"/>
        <v>459</v>
      </c>
      <c r="AI136" s="103">
        <f t="shared" si="39"/>
        <v>459</v>
      </c>
      <c r="AJ136" s="103">
        <f t="shared" si="39"/>
        <v>459</v>
      </c>
      <c r="AK136" s="103">
        <f t="shared" si="39"/>
        <v>459</v>
      </c>
      <c r="AL136" s="103">
        <f t="shared" si="39"/>
        <v>459</v>
      </c>
      <c r="AM136" s="103">
        <f t="shared" si="39"/>
        <v>459</v>
      </c>
      <c r="AN136" s="103">
        <f t="shared" si="39"/>
        <v>459</v>
      </c>
      <c r="AO136" s="104" t="s">
        <v>4</v>
      </c>
      <c r="AP136" s="102"/>
    </row>
    <row r="137" spans="1:45" customFormat="1" ht="18.75" customHeight="1" x14ac:dyDescent="0.45">
      <c r="A137" s="73">
        <v>5222928662</v>
      </c>
      <c r="B137" s="73">
        <v>33</v>
      </c>
      <c r="C137" s="73" t="s">
        <v>180</v>
      </c>
      <c r="D137" s="74" t="s">
        <v>181</v>
      </c>
      <c r="E137" s="75">
        <f t="shared" ref="E137:Q137" si="40">300/1.23</f>
        <v>243.90243902439025</v>
      </c>
      <c r="F137" s="75">
        <f t="shared" si="40"/>
        <v>243.90243902439025</v>
      </c>
      <c r="G137" s="75">
        <f t="shared" si="40"/>
        <v>243.90243902439025</v>
      </c>
      <c r="H137" s="75">
        <f t="shared" si="40"/>
        <v>243.90243902439025</v>
      </c>
      <c r="I137" s="75">
        <f t="shared" si="40"/>
        <v>243.90243902439025</v>
      </c>
      <c r="J137" s="75">
        <f t="shared" si="40"/>
        <v>243.90243902439025</v>
      </c>
      <c r="K137" s="75">
        <f t="shared" si="40"/>
        <v>243.90243902439025</v>
      </c>
      <c r="L137" s="75">
        <f t="shared" si="40"/>
        <v>243.90243902439025</v>
      </c>
      <c r="M137" s="75">
        <f t="shared" si="40"/>
        <v>243.90243902439025</v>
      </c>
      <c r="N137" s="75">
        <f t="shared" si="40"/>
        <v>243.90243902439025</v>
      </c>
      <c r="O137" s="75">
        <f t="shared" si="40"/>
        <v>243.90243902439025</v>
      </c>
      <c r="P137" s="75">
        <f t="shared" si="40"/>
        <v>243.90243902439025</v>
      </c>
      <c r="Q137" s="78">
        <f t="shared" si="40"/>
        <v>243.90243902439025</v>
      </c>
      <c r="R137" s="105">
        <f>PRODUCT(Q137*1.15)</f>
        <v>280.48780487804873</v>
      </c>
      <c r="S137" s="78">
        <f t="shared" ref="S137:AI137" si="41">R137</f>
        <v>280.48780487804873</v>
      </c>
      <c r="T137" s="78">
        <f t="shared" si="41"/>
        <v>280.48780487804873</v>
      </c>
      <c r="U137" s="78">
        <f t="shared" si="41"/>
        <v>280.48780487804873</v>
      </c>
      <c r="V137" s="78">
        <f t="shared" si="41"/>
        <v>280.48780487804873</v>
      </c>
      <c r="W137" s="78">
        <f t="shared" si="41"/>
        <v>280.48780487804873</v>
      </c>
      <c r="X137" s="78">
        <f t="shared" si="41"/>
        <v>280.48780487804873</v>
      </c>
      <c r="Y137" s="78">
        <f t="shared" si="41"/>
        <v>280.48780487804873</v>
      </c>
      <c r="Z137" s="78">
        <f t="shared" si="41"/>
        <v>280.48780487804873</v>
      </c>
      <c r="AA137" s="78">
        <f t="shared" si="41"/>
        <v>280.48780487804873</v>
      </c>
      <c r="AB137" s="78">
        <f t="shared" si="41"/>
        <v>280.48780487804873</v>
      </c>
      <c r="AC137" s="78">
        <f t="shared" si="41"/>
        <v>280.48780487804873</v>
      </c>
      <c r="AD137" s="78">
        <f t="shared" si="41"/>
        <v>280.48780487804873</v>
      </c>
      <c r="AE137" s="78">
        <f t="shared" si="41"/>
        <v>280.48780487804873</v>
      </c>
      <c r="AF137" s="78">
        <f t="shared" si="41"/>
        <v>280.48780487804873</v>
      </c>
      <c r="AG137" s="78">
        <f t="shared" si="41"/>
        <v>280.48780487804873</v>
      </c>
      <c r="AH137" s="78">
        <f t="shared" si="41"/>
        <v>280.48780487804873</v>
      </c>
      <c r="AI137" s="78">
        <f t="shared" si="41"/>
        <v>280.48780487804873</v>
      </c>
      <c r="AJ137" s="78">
        <v>280.48780487804873</v>
      </c>
      <c r="AK137" s="78">
        <v>280.48780487804873</v>
      </c>
      <c r="AL137" s="78">
        <v>280.48780487804873</v>
      </c>
      <c r="AM137" s="78">
        <v>280.48780487804873</v>
      </c>
      <c r="AN137" s="78">
        <v>280.48780487804873</v>
      </c>
      <c r="AO137" s="78">
        <v>280.48780487804873</v>
      </c>
      <c r="AP137" s="78">
        <v>280.48780487804873</v>
      </c>
      <c r="AQ137" s="78">
        <v>280.48780487804873</v>
      </c>
      <c r="AR137" s="82" t="s">
        <v>4</v>
      </c>
    </row>
    <row r="138" spans="1:45" customFormat="1" ht="18.75" customHeight="1" x14ac:dyDescent="0.45">
      <c r="A138" s="73">
        <v>9512470819</v>
      </c>
      <c r="B138" s="73">
        <v>291</v>
      </c>
      <c r="C138" s="73" t="s">
        <v>182</v>
      </c>
      <c r="D138" s="74" t="s">
        <v>183</v>
      </c>
      <c r="E138" s="75">
        <v>1450</v>
      </c>
      <c r="F138" s="75">
        <v>1450</v>
      </c>
      <c r="G138" s="75">
        <v>1450</v>
      </c>
      <c r="H138" s="75">
        <v>1450</v>
      </c>
      <c r="I138" s="75">
        <v>1450</v>
      </c>
      <c r="J138" s="76">
        <v>1450</v>
      </c>
      <c r="K138" s="76">
        <v>1450</v>
      </c>
      <c r="L138" s="75">
        <v>1450</v>
      </c>
      <c r="M138" s="75">
        <v>1450</v>
      </c>
      <c r="N138" s="75">
        <v>1450</v>
      </c>
      <c r="O138" s="75">
        <v>1450</v>
      </c>
      <c r="P138" s="75">
        <v>1450</v>
      </c>
      <c r="Q138" s="77">
        <f>P138*1.15</f>
        <v>1667.4999999999998</v>
      </c>
      <c r="R138" s="75">
        <f t="shared" ref="R138:AG140" si="42">Q138</f>
        <v>1667.4999999999998</v>
      </c>
      <c r="S138" s="75">
        <f t="shared" si="42"/>
        <v>1667.4999999999998</v>
      </c>
      <c r="T138" s="75">
        <f t="shared" si="42"/>
        <v>1667.4999999999998</v>
      </c>
      <c r="U138" s="75">
        <f t="shared" si="42"/>
        <v>1667.4999999999998</v>
      </c>
      <c r="V138" s="75">
        <f t="shared" si="42"/>
        <v>1667.4999999999998</v>
      </c>
      <c r="W138" s="75">
        <f t="shared" si="42"/>
        <v>1667.4999999999998</v>
      </c>
      <c r="X138" s="75">
        <f t="shared" si="42"/>
        <v>1667.4999999999998</v>
      </c>
      <c r="Y138" s="75">
        <f t="shared" si="42"/>
        <v>1667.4999999999998</v>
      </c>
      <c r="Z138" s="75">
        <f t="shared" si="42"/>
        <v>1667.4999999999998</v>
      </c>
      <c r="AA138" s="75">
        <f t="shared" si="42"/>
        <v>1667.4999999999998</v>
      </c>
      <c r="AB138" s="78">
        <f t="shared" si="42"/>
        <v>1667.4999999999998</v>
      </c>
      <c r="AC138" s="78">
        <f t="shared" si="42"/>
        <v>1667.4999999999998</v>
      </c>
      <c r="AD138" s="78">
        <f t="shared" si="42"/>
        <v>1667.4999999999998</v>
      </c>
      <c r="AE138" s="78">
        <f t="shared" si="42"/>
        <v>1667.4999999999998</v>
      </c>
      <c r="AF138" s="78">
        <f t="shared" si="42"/>
        <v>1667.4999999999998</v>
      </c>
      <c r="AG138" s="78">
        <v>1667.4999999999998</v>
      </c>
      <c r="AH138" s="78">
        <v>1667.4999999999998</v>
      </c>
      <c r="AI138" s="78">
        <v>1667.4999999999998</v>
      </c>
      <c r="AJ138" s="78">
        <v>1667.4999999999998</v>
      </c>
      <c r="AK138" s="78">
        <v>1667.4999999999998</v>
      </c>
      <c r="AL138" s="78">
        <v>1667.4999999999998</v>
      </c>
      <c r="AM138" s="78">
        <v>1667.4999999999998</v>
      </c>
      <c r="AN138" s="78">
        <v>1667.4999999999998</v>
      </c>
      <c r="AO138" s="78">
        <v>1667.4999999999998</v>
      </c>
      <c r="AP138" s="78">
        <v>1667.4999999999998</v>
      </c>
      <c r="AQ138" s="78">
        <v>1667.4999999999998</v>
      </c>
      <c r="AR138" s="82" t="s">
        <v>174</v>
      </c>
    </row>
    <row r="139" spans="1:45" customFormat="1" ht="18.75" customHeight="1" x14ac:dyDescent="0.45">
      <c r="A139" s="73">
        <v>1132742696</v>
      </c>
      <c r="B139" s="73">
        <v>362</v>
      </c>
      <c r="C139" s="73" t="s">
        <v>184</v>
      </c>
      <c r="D139" s="74" t="s">
        <v>185</v>
      </c>
      <c r="E139" s="75">
        <v>490</v>
      </c>
      <c r="F139" s="75">
        <v>490</v>
      </c>
      <c r="G139" s="75">
        <v>490</v>
      </c>
      <c r="H139" s="75">
        <v>490</v>
      </c>
      <c r="I139" s="75">
        <v>490</v>
      </c>
      <c r="J139" s="76">
        <v>490</v>
      </c>
      <c r="K139" s="76">
        <v>490</v>
      </c>
      <c r="L139" s="75">
        <v>490</v>
      </c>
      <c r="M139" s="75">
        <v>490</v>
      </c>
      <c r="N139" s="75">
        <v>490</v>
      </c>
      <c r="O139" s="75">
        <v>490</v>
      </c>
      <c r="P139" s="75">
        <v>490</v>
      </c>
      <c r="Q139" s="75">
        <v>490</v>
      </c>
      <c r="R139" s="75">
        <v>490</v>
      </c>
      <c r="S139" s="75">
        <f t="shared" si="42"/>
        <v>490</v>
      </c>
      <c r="T139" s="75">
        <f t="shared" si="42"/>
        <v>490</v>
      </c>
      <c r="U139" s="75">
        <f t="shared" si="42"/>
        <v>490</v>
      </c>
      <c r="V139" s="75">
        <f t="shared" si="42"/>
        <v>490</v>
      </c>
      <c r="W139" s="75">
        <f t="shared" si="42"/>
        <v>490</v>
      </c>
      <c r="X139" s="75">
        <f t="shared" si="42"/>
        <v>490</v>
      </c>
      <c r="Y139" s="75">
        <f t="shared" si="42"/>
        <v>490</v>
      </c>
      <c r="Z139" s="75">
        <f t="shared" si="42"/>
        <v>490</v>
      </c>
      <c r="AA139" s="75">
        <f t="shared" si="42"/>
        <v>490</v>
      </c>
      <c r="AB139" s="78">
        <f t="shared" si="42"/>
        <v>490</v>
      </c>
      <c r="AC139" s="78">
        <f t="shared" si="42"/>
        <v>490</v>
      </c>
      <c r="AD139" s="78">
        <f t="shared" si="42"/>
        <v>490</v>
      </c>
      <c r="AE139" s="78">
        <f t="shared" si="42"/>
        <v>490</v>
      </c>
      <c r="AF139" s="78">
        <f t="shared" si="42"/>
        <v>490</v>
      </c>
      <c r="AG139" s="78">
        <f t="shared" si="42"/>
        <v>490</v>
      </c>
      <c r="AH139" s="78">
        <f t="shared" ref="AH139:AQ140" si="43">AG139</f>
        <v>490</v>
      </c>
      <c r="AI139" s="78">
        <f t="shared" si="43"/>
        <v>490</v>
      </c>
      <c r="AJ139" s="78">
        <f t="shared" si="43"/>
        <v>490</v>
      </c>
      <c r="AK139" s="78">
        <f t="shared" si="43"/>
        <v>490</v>
      </c>
      <c r="AL139" s="78">
        <f t="shared" si="43"/>
        <v>490</v>
      </c>
      <c r="AM139" s="78">
        <f t="shared" si="43"/>
        <v>490</v>
      </c>
      <c r="AN139" s="78">
        <f t="shared" si="43"/>
        <v>490</v>
      </c>
      <c r="AO139" s="78">
        <f t="shared" si="43"/>
        <v>490</v>
      </c>
      <c r="AP139" s="78">
        <f t="shared" si="43"/>
        <v>490</v>
      </c>
      <c r="AQ139" s="78">
        <f t="shared" si="43"/>
        <v>490</v>
      </c>
      <c r="AR139" s="82" t="s">
        <v>4</v>
      </c>
    </row>
    <row r="140" spans="1:45" customFormat="1" ht="18.5" x14ac:dyDescent="0.45">
      <c r="A140" s="73">
        <v>6571309828</v>
      </c>
      <c r="B140" s="7"/>
      <c r="C140" s="73" t="s">
        <v>186</v>
      </c>
      <c r="D140" s="73"/>
      <c r="AA140" s="103">
        <f>22/31*419</f>
        <v>297.35483870967744</v>
      </c>
      <c r="AB140" s="103">
        <v>453.96600000000001</v>
      </c>
      <c r="AC140" s="103">
        <v>453.96600000000001</v>
      </c>
      <c r="AD140" s="103">
        <v>453.96600000000001</v>
      </c>
      <c r="AE140" s="103">
        <v>453.96600000000001</v>
      </c>
      <c r="AF140" s="103">
        <f t="shared" si="42"/>
        <v>453.96600000000001</v>
      </c>
      <c r="AG140" s="103">
        <f t="shared" si="42"/>
        <v>453.96600000000001</v>
      </c>
      <c r="AH140" s="102">
        <f t="shared" si="43"/>
        <v>453.96600000000001</v>
      </c>
      <c r="AI140" s="103">
        <f t="shared" si="43"/>
        <v>453.96600000000001</v>
      </c>
      <c r="AJ140" s="103">
        <f t="shared" si="43"/>
        <v>453.96600000000001</v>
      </c>
      <c r="AK140" s="103">
        <f t="shared" si="43"/>
        <v>453.96600000000001</v>
      </c>
      <c r="AL140" s="103">
        <f t="shared" si="43"/>
        <v>453.96600000000001</v>
      </c>
      <c r="AM140" s="104" t="s">
        <v>4</v>
      </c>
      <c r="AN140" s="102"/>
    </row>
    <row r="141" spans="1:45" customFormat="1" ht="15.65" customHeight="1" x14ac:dyDescent="0.45">
      <c r="A141" s="73">
        <v>5272523080</v>
      </c>
      <c r="B141" s="73">
        <v>862</v>
      </c>
      <c r="C141" s="73" t="s">
        <v>187</v>
      </c>
      <c r="D141" s="73" t="s">
        <v>188</v>
      </c>
      <c r="L141" s="75">
        <f>20/31*830</f>
        <v>535.48387096774195</v>
      </c>
      <c r="M141" s="75">
        <v>830</v>
      </c>
      <c r="N141" s="75">
        <v>830</v>
      </c>
      <c r="O141" s="96">
        <f>0.645*1116+0.355*830</f>
        <v>1014.47</v>
      </c>
      <c r="P141" s="75">
        <v>1116</v>
      </c>
      <c r="Q141" s="75">
        <v>1116</v>
      </c>
      <c r="R141" s="88">
        <f>PRODUCT(Q141*1.15)</f>
        <v>1283.3999999999999</v>
      </c>
      <c r="S141" s="75">
        <f t="shared" ref="S141:AD141" si="44">R141</f>
        <v>1283.3999999999999</v>
      </c>
      <c r="T141" s="75">
        <f t="shared" si="44"/>
        <v>1283.3999999999999</v>
      </c>
      <c r="U141" s="75">
        <f t="shared" si="44"/>
        <v>1283.3999999999999</v>
      </c>
      <c r="V141" s="75">
        <f t="shared" si="44"/>
        <v>1283.3999999999999</v>
      </c>
      <c r="W141" s="75">
        <f t="shared" si="44"/>
        <v>1283.3999999999999</v>
      </c>
      <c r="X141" s="75">
        <f t="shared" si="44"/>
        <v>1283.3999999999999</v>
      </c>
      <c r="Y141" s="75">
        <f t="shared" si="44"/>
        <v>1283.3999999999999</v>
      </c>
      <c r="Z141" s="75">
        <f t="shared" si="44"/>
        <v>1283.3999999999999</v>
      </c>
      <c r="AA141" s="75">
        <f t="shared" si="44"/>
        <v>1283.3999999999999</v>
      </c>
      <c r="AB141" s="78">
        <f t="shared" si="44"/>
        <v>1283.3999999999999</v>
      </c>
      <c r="AC141" s="78">
        <f t="shared" si="44"/>
        <v>1283.3999999999999</v>
      </c>
      <c r="AD141" s="78">
        <f t="shared" si="44"/>
        <v>1283.3999999999999</v>
      </c>
      <c r="AE141" s="78">
        <v>1283.3999999999999</v>
      </c>
      <c r="AF141" s="78">
        <v>1283.3999999999999</v>
      </c>
      <c r="AG141" s="78">
        <v>1283.3999999999999</v>
      </c>
      <c r="AH141" s="78">
        <v>1283.3999999999999</v>
      </c>
      <c r="AI141" s="78">
        <v>1283.3999999999999</v>
      </c>
      <c r="AJ141" s="78">
        <v>1283.3999999999999</v>
      </c>
      <c r="AK141" s="78">
        <v>1283.3999999999999</v>
      </c>
      <c r="AL141" s="78">
        <v>1283.3999999999999</v>
      </c>
      <c r="AM141" s="78">
        <v>1283.3999999999999</v>
      </c>
      <c r="AN141" s="78">
        <v>1283.3999999999999</v>
      </c>
      <c r="AO141" s="78">
        <v>1283.3999999999999</v>
      </c>
      <c r="AP141" s="78">
        <v>1283.3999999999999</v>
      </c>
      <c r="AQ141" s="82" t="s">
        <v>4</v>
      </c>
    </row>
    <row r="142" spans="1:45" customFormat="1" ht="15.75" customHeight="1" thickBot="1" x14ac:dyDescent="0.5">
      <c r="A142" s="73">
        <v>5070094210</v>
      </c>
      <c r="B142" s="73">
        <v>849</v>
      </c>
      <c r="C142" s="73" t="s">
        <v>189</v>
      </c>
      <c r="D142" s="73" t="s">
        <v>190</v>
      </c>
      <c r="K142" s="75">
        <f>6/31*454</f>
        <v>87.870967741935488</v>
      </c>
      <c r="L142" s="75">
        <v>454</v>
      </c>
      <c r="M142" s="75">
        <v>454</v>
      </c>
      <c r="N142" s="75">
        <v>454</v>
      </c>
      <c r="O142" s="75">
        <v>454</v>
      </c>
      <c r="P142" s="75">
        <v>454</v>
      </c>
      <c r="Q142" s="75">
        <v>454</v>
      </c>
      <c r="R142" s="92">
        <f>Q142*1.15</f>
        <v>522.09999999999991</v>
      </c>
      <c r="S142" s="75">
        <f>R142</f>
        <v>522.09999999999991</v>
      </c>
      <c r="T142" s="75">
        <f>S142</f>
        <v>522.09999999999991</v>
      </c>
      <c r="U142" s="75">
        <f>T142</f>
        <v>522.09999999999991</v>
      </c>
      <c r="V142" s="75">
        <f>U142</f>
        <v>522.09999999999991</v>
      </c>
      <c r="W142" s="75">
        <f>6/31*1044.2+25/31*522.1</f>
        <v>623.15161290322578</v>
      </c>
      <c r="X142" s="75">
        <f>908*1.15</f>
        <v>1044.1999999999998</v>
      </c>
      <c r="Y142" s="75">
        <f>908*1.15</f>
        <v>1044.1999999999998</v>
      </c>
      <c r="Z142" s="75">
        <f>908*1.15</f>
        <v>1044.1999999999998</v>
      </c>
      <c r="AA142" s="75">
        <f>908*1.15</f>
        <v>1044.1999999999998</v>
      </c>
      <c r="AB142" s="78">
        <f>AA142</f>
        <v>1044.1999999999998</v>
      </c>
      <c r="AC142" s="78">
        <f>AB142</f>
        <v>1044.1999999999998</v>
      </c>
      <c r="AD142" s="78">
        <f>AC142</f>
        <v>1044.1999999999998</v>
      </c>
      <c r="AE142" s="78">
        <v>1044.1999999999998</v>
      </c>
      <c r="AF142" s="78">
        <v>1044.1999999999998</v>
      </c>
      <c r="AG142" s="78">
        <v>1044.1999999999998</v>
      </c>
      <c r="AH142" s="78">
        <v>1044.1999999999998</v>
      </c>
      <c r="AI142" s="78">
        <v>1044.1999999999998</v>
      </c>
      <c r="AJ142" s="78">
        <v>1044.1999999999998</v>
      </c>
      <c r="AK142" s="78">
        <v>1044.1999999999998</v>
      </c>
      <c r="AL142" s="78">
        <v>1044.1999999999998</v>
      </c>
      <c r="AM142" s="78">
        <v>1044.1999999999998</v>
      </c>
      <c r="AN142" s="78">
        <v>1044.1999999999998</v>
      </c>
      <c r="AO142" s="78">
        <v>1044.1999999999998</v>
      </c>
      <c r="AP142" s="78">
        <v>1044.1999999999998</v>
      </c>
      <c r="AQ142" s="106" t="s">
        <v>191</v>
      </c>
    </row>
    <row r="143" spans="1:45" customFormat="1" ht="15.75" customHeight="1" x14ac:dyDescent="0.45">
      <c r="A143" s="73">
        <v>5321643282</v>
      </c>
      <c r="B143" s="107">
        <v>1000000140</v>
      </c>
      <c r="C143" s="73" t="s">
        <v>192</v>
      </c>
      <c r="D143" s="73" t="s">
        <v>192</v>
      </c>
      <c r="O143" s="108"/>
      <c r="P143" s="108"/>
      <c r="Q143" s="84"/>
      <c r="U143" s="109"/>
      <c r="AS143" s="82" t="s">
        <v>4</v>
      </c>
    </row>
    <row r="144" spans="1:45" customFormat="1" ht="18" customHeight="1" x14ac:dyDescent="0.45">
      <c r="A144" s="73">
        <v>8521777215</v>
      </c>
      <c r="B144" s="73">
        <v>357</v>
      </c>
      <c r="C144" s="81" t="s">
        <v>193</v>
      </c>
      <c r="D144" s="74" t="s">
        <v>194</v>
      </c>
      <c r="E144" s="75">
        <v>1680</v>
      </c>
      <c r="F144" s="75">
        <v>1680</v>
      </c>
      <c r="G144" s="75">
        <v>1680</v>
      </c>
      <c r="H144" s="75">
        <v>1680</v>
      </c>
      <c r="I144" s="75">
        <v>1681</v>
      </c>
      <c r="J144" s="76">
        <v>1681</v>
      </c>
      <c r="K144" s="76">
        <v>1681</v>
      </c>
      <c r="L144" s="75">
        <v>1681</v>
      </c>
      <c r="M144" s="75">
        <v>1681</v>
      </c>
      <c r="N144" s="75">
        <v>1681</v>
      </c>
      <c r="O144" s="75">
        <v>1681</v>
      </c>
      <c r="P144" s="75">
        <v>1681</v>
      </c>
      <c r="Q144" s="75">
        <v>1681</v>
      </c>
      <c r="R144" s="75">
        <v>1681</v>
      </c>
      <c r="S144" s="75">
        <f t="shared" ref="S144:X144" si="45">R144</f>
        <v>1681</v>
      </c>
      <c r="T144" s="75">
        <f t="shared" si="45"/>
        <v>1681</v>
      </c>
      <c r="U144" s="75">
        <f t="shared" si="45"/>
        <v>1681</v>
      </c>
      <c r="V144" s="75">
        <f t="shared" si="45"/>
        <v>1681</v>
      </c>
      <c r="W144" s="75">
        <f t="shared" si="45"/>
        <v>1681</v>
      </c>
      <c r="X144" s="75">
        <f t="shared" si="45"/>
        <v>1681</v>
      </c>
      <c r="Y144" s="75">
        <v>1680</v>
      </c>
      <c r="Z144" s="75">
        <v>1680</v>
      </c>
      <c r="AA144" s="75">
        <v>1680</v>
      </c>
      <c r="AB144" s="78">
        <f t="shared" ref="AB144:AQ144" si="46">AA144</f>
        <v>1680</v>
      </c>
      <c r="AC144" s="78">
        <f t="shared" si="46"/>
        <v>1680</v>
      </c>
      <c r="AD144" s="78">
        <f t="shared" si="46"/>
        <v>1680</v>
      </c>
      <c r="AE144" s="78">
        <f t="shared" si="46"/>
        <v>1680</v>
      </c>
      <c r="AF144" s="78">
        <f t="shared" si="46"/>
        <v>1680</v>
      </c>
      <c r="AG144" s="78">
        <f t="shared" si="46"/>
        <v>1680</v>
      </c>
      <c r="AH144" s="78">
        <f t="shared" si="46"/>
        <v>1680</v>
      </c>
      <c r="AI144" s="78">
        <f t="shared" si="46"/>
        <v>1680</v>
      </c>
      <c r="AJ144" s="78">
        <f t="shared" si="46"/>
        <v>1680</v>
      </c>
      <c r="AK144" s="78">
        <f t="shared" si="46"/>
        <v>1680</v>
      </c>
      <c r="AL144" s="78">
        <f t="shared" si="46"/>
        <v>1680</v>
      </c>
      <c r="AM144" s="78">
        <f t="shared" si="46"/>
        <v>1680</v>
      </c>
      <c r="AN144" s="78">
        <f t="shared" si="46"/>
        <v>1680</v>
      </c>
      <c r="AO144" s="78">
        <f t="shared" si="46"/>
        <v>1680</v>
      </c>
      <c r="AP144" s="78">
        <f t="shared" si="46"/>
        <v>1680</v>
      </c>
      <c r="AQ144" s="78">
        <f t="shared" si="46"/>
        <v>1680</v>
      </c>
      <c r="AR144" s="110" t="s">
        <v>4</v>
      </c>
    </row>
    <row r="145" spans="1:50" customFormat="1" ht="18.75" customHeight="1" thickBot="1" x14ac:dyDescent="0.5">
      <c r="A145" s="73">
        <v>6751209442</v>
      </c>
      <c r="B145" s="73">
        <v>534</v>
      </c>
      <c r="C145" s="73" t="s">
        <v>195</v>
      </c>
      <c r="D145" s="74" t="s">
        <v>196</v>
      </c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2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1"/>
      <c r="AK145" s="114"/>
      <c r="AL145" s="114"/>
      <c r="AM145" s="114"/>
      <c r="AN145" s="113"/>
      <c r="AO145" s="78">
        <v>1951.22</v>
      </c>
      <c r="AP145" s="78">
        <v>1951.22</v>
      </c>
      <c r="AQ145" s="78">
        <v>1951.22</v>
      </c>
      <c r="AR145" s="82" t="s">
        <v>4</v>
      </c>
    </row>
    <row r="146" spans="1:50" s="122" customFormat="1" ht="15.75" customHeight="1" x14ac:dyDescent="0.45">
      <c r="A146" s="115">
        <v>7010819366</v>
      </c>
      <c r="B146" s="116">
        <v>640</v>
      </c>
      <c r="C146" s="116" t="s">
        <v>197</v>
      </c>
      <c r="D146" s="116" t="s">
        <v>197</v>
      </c>
      <c r="E146" s="117">
        <f t="shared" ref="E146:N146" si="47">2429+297</f>
        <v>2726</v>
      </c>
      <c r="F146" s="117">
        <f t="shared" si="47"/>
        <v>2726</v>
      </c>
      <c r="G146" s="117">
        <f t="shared" si="47"/>
        <v>2726</v>
      </c>
      <c r="H146" s="117">
        <f t="shared" si="47"/>
        <v>2726</v>
      </c>
      <c r="I146" s="117">
        <f t="shared" si="47"/>
        <v>2726</v>
      </c>
      <c r="J146" s="118">
        <f t="shared" si="47"/>
        <v>2726</v>
      </c>
      <c r="K146" s="118">
        <f t="shared" si="47"/>
        <v>2726</v>
      </c>
      <c r="L146" s="118">
        <f t="shared" si="47"/>
        <v>2726</v>
      </c>
      <c r="M146" s="117">
        <f t="shared" si="47"/>
        <v>2726</v>
      </c>
      <c r="N146" s="119">
        <f t="shared" si="47"/>
        <v>2726</v>
      </c>
      <c r="O146" s="117">
        <v>2726</v>
      </c>
      <c r="P146" s="117">
        <v>2726</v>
      </c>
      <c r="Q146" s="117">
        <v>2726</v>
      </c>
      <c r="R146" s="117">
        <v>2726</v>
      </c>
      <c r="S146" s="117">
        <v>2726</v>
      </c>
      <c r="T146" s="117">
        <v>2726</v>
      </c>
      <c r="U146" s="117">
        <v>2726</v>
      </c>
      <c r="V146" s="117">
        <v>2726</v>
      </c>
      <c r="W146" s="117">
        <v>2726</v>
      </c>
      <c r="X146" s="117">
        <v>2726</v>
      </c>
      <c r="Y146" s="117">
        <v>2726</v>
      </c>
      <c r="Z146" s="117">
        <v>2726</v>
      </c>
      <c r="AA146" s="117">
        <v>2726</v>
      </c>
      <c r="AB146" s="120">
        <v>2726</v>
      </c>
      <c r="AC146" s="120">
        <v>2726</v>
      </c>
      <c r="AD146" s="120">
        <v>2726</v>
      </c>
      <c r="AE146" s="120">
        <v>2726</v>
      </c>
      <c r="AF146" s="120">
        <v>2726</v>
      </c>
      <c r="AG146" s="120">
        <v>2726</v>
      </c>
      <c r="AH146" s="120">
        <v>2726</v>
      </c>
      <c r="AI146" s="120">
        <v>2726</v>
      </c>
      <c r="AJ146" s="120">
        <v>2726</v>
      </c>
      <c r="AK146" s="120">
        <v>2726</v>
      </c>
      <c r="AL146" s="120">
        <v>2726</v>
      </c>
      <c r="AM146" s="120">
        <v>2726</v>
      </c>
      <c r="AN146" s="120">
        <v>2726</v>
      </c>
      <c r="AO146" s="120">
        <v>2726</v>
      </c>
      <c r="AP146" s="120">
        <v>2726</v>
      </c>
      <c r="AQ146" s="120">
        <v>2726</v>
      </c>
      <c r="AR146" s="121" t="s">
        <v>174</v>
      </c>
    </row>
    <row r="147" spans="1:50" customFormat="1" ht="37" x14ac:dyDescent="0.45">
      <c r="A147" s="73">
        <v>8513208336</v>
      </c>
      <c r="B147" s="73">
        <v>812</v>
      </c>
      <c r="C147" s="81" t="s">
        <v>198</v>
      </c>
      <c r="D147" s="73" t="s">
        <v>199</v>
      </c>
      <c r="H147" s="75">
        <v>1006</v>
      </c>
      <c r="I147" s="75">
        <v>1006</v>
      </c>
      <c r="J147" s="75">
        <v>1006</v>
      </c>
      <c r="K147" s="75">
        <v>1006</v>
      </c>
      <c r="L147" s="75">
        <v>1006</v>
      </c>
      <c r="M147" s="75">
        <v>1006</v>
      </c>
      <c r="N147" s="75">
        <v>1006</v>
      </c>
      <c r="O147" s="75">
        <v>1006</v>
      </c>
      <c r="P147" s="75">
        <v>1006</v>
      </c>
      <c r="Q147" s="75">
        <v>1006</v>
      </c>
      <c r="R147" s="88">
        <f>PRODUCT(Q147*1.15)</f>
        <v>1156.8999999999999</v>
      </c>
      <c r="S147" s="75">
        <f t="shared" ref="S147:AM155" si="48">R147</f>
        <v>1156.8999999999999</v>
      </c>
      <c r="T147" s="75">
        <f t="shared" si="48"/>
        <v>1156.8999999999999</v>
      </c>
      <c r="U147" s="75">
        <f t="shared" si="48"/>
        <v>1156.8999999999999</v>
      </c>
      <c r="V147" s="75">
        <f t="shared" si="48"/>
        <v>1156.8999999999999</v>
      </c>
      <c r="W147" s="75">
        <f t="shared" si="48"/>
        <v>1156.8999999999999</v>
      </c>
      <c r="X147" s="75">
        <f t="shared" si="48"/>
        <v>1156.8999999999999</v>
      </c>
      <c r="Y147" s="75">
        <f t="shared" si="48"/>
        <v>1156.8999999999999</v>
      </c>
      <c r="Z147" s="75">
        <f t="shared" si="48"/>
        <v>1156.8999999999999</v>
      </c>
      <c r="AA147" s="75">
        <f t="shared" si="48"/>
        <v>1156.8999999999999</v>
      </c>
      <c r="AB147" s="78">
        <f t="shared" si="48"/>
        <v>1156.8999999999999</v>
      </c>
      <c r="AC147" s="78">
        <f t="shared" si="48"/>
        <v>1156.8999999999999</v>
      </c>
      <c r="AD147" s="78">
        <f t="shared" si="48"/>
        <v>1156.8999999999999</v>
      </c>
      <c r="AE147" s="78">
        <f t="shared" si="48"/>
        <v>1156.8999999999999</v>
      </c>
      <c r="AF147" s="78">
        <f t="shared" si="48"/>
        <v>1156.8999999999999</v>
      </c>
      <c r="AG147" s="78">
        <f t="shared" si="48"/>
        <v>1156.8999999999999</v>
      </c>
      <c r="AH147" s="78">
        <f t="shared" si="48"/>
        <v>1156.8999999999999</v>
      </c>
      <c r="AI147" s="78">
        <f t="shared" si="48"/>
        <v>1156.8999999999999</v>
      </c>
      <c r="AJ147" s="78">
        <f t="shared" si="48"/>
        <v>1156.8999999999999</v>
      </c>
      <c r="AK147" s="78">
        <f t="shared" si="48"/>
        <v>1156.8999999999999</v>
      </c>
      <c r="AL147" s="78">
        <f t="shared" si="48"/>
        <v>1156.8999999999999</v>
      </c>
      <c r="AM147" s="78">
        <f t="shared" si="48"/>
        <v>1156.8999999999999</v>
      </c>
      <c r="AN147" s="78">
        <v>1156.8999999999999</v>
      </c>
      <c r="AO147" s="78">
        <v>1156.8999999999999</v>
      </c>
      <c r="AP147" s="78">
        <v>1156.8999999999999</v>
      </c>
      <c r="AQ147" s="78">
        <v>1156.8999999999999</v>
      </c>
      <c r="AR147" s="82" t="s">
        <v>4</v>
      </c>
    </row>
    <row r="148" spans="1:50" customFormat="1" ht="15.75" customHeight="1" thickBot="1" x14ac:dyDescent="0.5">
      <c r="A148" s="73">
        <v>8992770431</v>
      </c>
      <c r="B148" s="73">
        <v>523</v>
      </c>
      <c r="C148" s="81" t="s">
        <v>200</v>
      </c>
      <c r="D148" s="73" t="s">
        <v>201</v>
      </c>
      <c r="H148" s="75">
        <f>23/30*1628</f>
        <v>1248.1333333333334</v>
      </c>
      <c r="I148" s="75">
        <v>1628</v>
      </c>
      <c r="J148" s="76">
        <v>1628</v>
      </c>
      <c r="K148" s="76">
        <v>1628</v>
      </c>
      <c r="L148" s="76">
        <v>1628</v>
      </c>
      <c r="M148" s="75">
        <v>1628</v>
      </c>
      <c r="N148" s="75">
        <v>1628</v>
      </c>
      <c r="O148" s="75">
        <v>1628</v>
      </c>
      <c r="P148" s="75">
        <v>1628</v>
      </c>
      <c r="Q148" s="123">
        <f>P148*1.15</f>
        <v>1872.1999999999998</v>
      </c>
      <c r="R148" s="75">
        <f>Q148</f>
        <v>1872.1999999999998</v>
      </c>
      <c r="S148" s="75">
        <f t="shared" si="48"/>
        <v>1872.1999999999998</v>
      </c>
      <c r="T148" s="75">
        <f t="shared" si="48"/>
        <v>1872.1999999999998</v>
      </c>
      <c r="U148" s="75">
        <f t="shared" si="48"/>
        <v>1872.1999999999998</v>
      </c>
      <c r="V148" s="75">
        <f t="shared" si="48"/>
        <v>1872.1999999999998</v>
      </c>
      <c r="W148" s="75">
        <f t="shared" si="48"/>
        <v>1872.1999999999998</v>
      </c>
      <c r="X148" s="75">
        <f t="shared" si="48"/>
        <v>1872.1999999999998</v>
      </c>
      <c r="Y148" s="75">
        <f t="shared" si="48"/>
        <v>1872.1999999999998</v>
      </c>
      <c r="Z148" s="75">
        <f t="shared" si="48"/>
        <v>1872.1999999999998</v>
      </c>
      <c r="AA148" s="75">
        <f t="shared" si="48"/>
        <v>1872.1999999999998</v>
      </c>
      <c r="AB148" s="78">
        <f t="shared" si="48"/>
        <v>1872.1999999999998</v>
      </c>
      <c r="AC148" s="78">
        <f t="shared" si="48"/>
        <v>1872.1999999999998</v>
      </c>
      <c r="AD148" s="78">
        <f t="shared" si="48"/>
        <v>1872.1999999999998</v>
      </c>
      <c r="AE148" s="78">
        <f t="shared" si="48"/>
        <v>1872.1999999999998</v>
      </c>
      <c r="AF148" s="78">
        <f t="shared" si="48"/>
        <v>1872.1999999999998</v>
      </c>
      <c r="AG148" s="78">
        <f t="shared" si="48"/>
        <v>1872.1999999999998</v>
      </c>
      <c r="AH148" s="78">
        <f t="shared" si="48"/>
        <v>1872.1999999999998</v>
      </c>
      <c r="AI148" s="78">
        <f t="shared" si="48"/>
        <v>1872.1999999999998</v>
      </c>
      <c r="AJ148" s="78">
        <f t="shared" si="48"/>
        <v>1872.1999999999998</v>
      </c>
      <c r="AK148" s="78">
        <f t="shared" si="48"/>
        <v>1872.1999999999998</v>
      </c>
      <c r="AL148" s="78">
        <f t="shared" si="48"/>
        <v>1872.1999999999998</v>
      </c>
      <c r="AM148" s="78">
        <f t="shared" si="48"/>
        <v>1872.1999999999998</v>
      </c>
      <c r="AN148" s="78">
        <v>1872.1999999999998</v>
      </c>
      <c r="AO148" s="78">
        <v>1872.1999999999998</v>
      </c>
      <c r="AP148" s="78">
        <v>1872.1999999999998</v>
      </c>
      <c r="AQ148" s="78">
        <v>1872.1999999999998</v>
      </c>
      <c r="AR148" s="82" t="s">
        <v>4</v>
      </c>
    </row>
    <row r="149" spans="1:50" customFormat="1" ht="18.75" customHeight="1" x14ac:dyDescent="0.45">
      <c r="A149" s="73">
        <v>8512074804</v>
      </c>
      <c r="B149" s="73">
        <v>344</v>
      </c>
      <c r="C149" s="81" t="s">
        <v>202</v>
      </c>
      <c r="D149" s="74" t="s">
        <v>203</v>
      </c>
      <c r="E149" s="75">
        <v>490</v>
      </c>
      <c r="F149" s="75">
        <v>490</v>
      </c>
      <c r="G149" s="75">
        <v>490</v>
      </c>
      <c r="H149" s="75">
        <v>490</v>
      </c>
      <c r="I149" s="75">
        <v>490</v>
      </c>
      <c r="J149" s="76">
        <v>490</v>
      </c>
      <c r="K149" s="76">
        <v>490</v>
      </c>
      <c r="L149" s="75">
        <v>490</v>
      </c>
      <c r="M149" s="75">
        <v>490</v>
      </c>
      <c r="N149" s="75">
        <v>490</v>
      </c>
      <c r="O149" s="75">
        <v>490</v>
      </c>
      <c r="P149" s="75">
        <v>490</v>
      </c>
      <c r="Q149" s="75">
        <v>490</v>
      </c>
      <c r="R149" s="88">
        <f>PRODUCT(Q149*1.15)</f>
        <v>563.5</v>
      </c>
      <c r="S149" s="75">
        <f t="shared" si="48"/>
        <v>563.5</v>
      </c>
      <c r="T149" s="75">
        <f t="shared" si="48"/>
        <v>563.5</v>
      </c>
      <c r="U149" s="124">
        <f t="shared" si="48"/>
        <v>563.5</v>
      </c>
      <c r="V149" s="124">
        <f t="shared" si="48"/>
        <v>563.5</v>
      </c>
      <c r="W149" s="124">
        <f t="shared" si="48"/>
        <v>563.5</v>
      </c>
      <c r="X149" s="124">
        <f t="shared" si="48"/>
        <v>563.5</v>
      </c>
      <c r="Y149" s="124">
        <f t="shared" si="48"/>
        <v>563.5</v>
      </c>
      <c r="Z149" s="124">
        <f t="shared" si="48"/>
        <v>563.5</v>
      </c>
      <c r="AA149" s="124">
        <f t="shared" si="48"/>
        <v>563.5</v>
      </c>
      <c r="AB149" s="78">
        <f t="shared" si="48"/>
        <v>563.5</v>
      </c>
      <c r="AC149" s="78">
        <f t="shared" si="48"/>
        <v>563.5</v>
      </c>
      <c r="AD149" s="78">
        <f t="shared" si="48"/>
        <v>563.5</v>
      </c>
      <c r="AE149" s="78">
        <f t="shared" si="48"/>
        <v>563.5</v>
      </c>
      <c r="AF149" s="78">
        <f t="shared" si="48"/>
        <v>563.5</v>
      </c>
      <c r="AG149" s="78">
        <f t="shared" si="48"/>
        <v>563.5</v>
      </c>
      <c r="AH149" s="78">
        <f t="shared" si="48"/>
        <v>563.5</v>
      </c>
      <c r="AI149" s="78">
        <f t="shared" si="48"/>
        <v>563.5</v>
      </c>
      <c r="AJ149" s="78">
        <f t="shared" si="48"/>
        <v>563.5</v>
      </c>
      <c r="AK149" s="78">
        <f t="shared" si="48"/>
        <v>563.5</v>
      </c>
      <c r="AL149" s="78">
        <f t="shared" si="48"/>
        <v>563.5</v>
      </c>
      <c r="AM149" s="78">
        <f t="shared" si="48"/>
        <v>563.5</v>
      </c>
      <c r="AN149" s="78">
        <f t="shared" ref="AI149:AR152" si="49">AM149</f>
        <v>563.5</v>
      </c>
      <c r="AO149" s="78">
        <f t="shared" si="49"/>
        <v>563.5</v>
      </c>
      <c r="AP149" s="78">
        <f t="shared" si="49"/>
        <v>563.5</v>
      </c>
      <c r="AQ149" s="78">
        <f t="shared" si="49"/>
        <v>563.5</v>
      </c>
      <c r="AR149" s="78">
        <f t="shared" si="49"/>
        <v>563.5</v>
      </c>
      <c r="AS149" s="82" t="s">
        <v>4</v>
      </c>
    </row>
    <row r="150" spans="1:50" customFormat="1" ht="15.75" customHeight="1" x14ac:dyDescent="0.45">
      <c r="A150" s="73">
        <v>6572922910</v>
      </c>
      <c r="B150" s="73">
        <v>557</v>
      </c>
      <c r="C150" s="73" t="s">
        <v>204</v>
      </c>
      <c r="D150" s="74" t="s">
        <v>205</v>
      </c>
      <c r="E150" s="75">
        <v>800</v>
      </c>
      <c r="F150" s="75">
        <v>800</v>
      </c>
      <c r="G150" s="75">
        <v>800</v>
      </c>
      <c r="H150" s="75">
        <v>800</v>
      </c>
      <c r="I150" s="75">
        <v>800</v>
      </c>
      <c r="J150" s="76">
        <v>800</v>
      </c>
      <c r="K150" s="76">
        <v>800</v>
      </c>
      <c r="L150" s="76">
        <v>800</v>
      </c>
      <c r="M150" s="75">
        <v>800</v>
      </c>
      <c r="N150" s="75">
        <v>800</v>
      </c>
      <c r="O150" s="75">
        <v>800</v>
      </c>
      <c r="P150" s="75">
        <v>800</v>
      </c>
      <c r="Q150" s="75">
        <v>800</v>
      </c>
      <c r="R150" s="97">
        <f>PRODUCT(Q150*1.15)</f>
        <v>919.99999999999989</v>
      </c>
      <c r="S150" s="75">
        <f t="shared" si="48"/>
        <v>919.99999999999989</v>
      </c>
      <c r="T150" s="75">
        <f t="shared" si="48"/>
        <v>919.99999999999989</v>
      </c>
      <c r="U150" s="75">
        <f t="shared" si="48"/>
        <v>919.99999999999989</v>
      </c>
      <c r="V150" s="75">
        <f t="shared" si="48"/>
        <v>919.99999999999989</v>
      </c>
      <c r="W150" s="75">
        <f t="shared" si="48"/>
        <v>919.99999999999989</v>
      </c>
      <c r="X150" s="75">
        <f t="shared" si="48"/>
        <v>919.99999999999989</v>
      </c>
      <c r="Y150" s="75">
        <f t="shared" si="48"/>
        <v>919.99999999999989</v>
      </c>
      <c r="Z150" s="75">
        <f t="shared" si="48"/>
        <v>919.99999999999989</v>
      </c>
      <c r="AA150" s="75">
        <f t="shared" si="48"/>
        <v>919.99999999999989</v>
      </c>
      <c r="AB150" s="78">
        <f t="shared" si="48"/>
        <v>919.99999999999989</v>
      </c>
      <c r="AC150" s="78">
        <f t="shared" si="48"/>
        <v>919.99999999999989</v>
      </c>
      <c r="AD150" s="78">
        <f t="shared" si="48"/>
        <v>919.99999999999989</v>
      </c>
      <c r="AE150" s="78">
        <f t="shared" si="48"/>
        <v>919.99999999999989</v>
      </c>
      <c r="AF150" s="78">
        <f t="shared" si="48"/>
        <v>919.99999999999989</v>
      </c>
      <c r="AG150" s="78">
        <f t="shared" si="48"/>
        <v>919.99999999999989</v>
      </c>
      <c r="AH150" s="78">
        <f t="shared" si="48"/>
        <v>919.99999999999989</v>
      </c>
      <c r="AI150" s="78">
        <f t="shared" si="48"/>
        <v>919.99999999999989</v>
      </c>
      <c r="AJ150" s="78">
        <f t="shared" si="48"/>
        <v>919.99999999999989</v>
      </c>
      <c r="AK150" s="78">
        <f t="shared" si="48"/>
        <v>919.99999999999989</v>
      </c>
      <c r="AL150" s="78">
        <f t="shared" si="48"/>
        <v>919.99999999999989</v>
      </c>
      <c r="AM150" s="78">
        <f t="shared" si="48"/>
        <v>919.99999999999989</v>
      </c>
      <c r="AN150" s="78">
        <f t="shared" si="49"/>
        <v>919.99999999999989</v>
      </c>
      <c r="AO150" s="78">
        <f t="shared" si="49"/>
        <v>919.99999999999989</v>
      </c>
      <c r="AP150" s="78">
        <f t="shared" si="49"/>
        <v>919.99999999999989</v>
      </c>
      <c r="AQ150" s="78">
        <f t="shared" si="49"/>
        <v>919.99999999999989</v>
      </c>
      <c r="AR150" s="78">
        <f t="shared" si="49"/>
        <v>919.99999999999989</v>
      </c>
      <c r="AS150" s="78">
        <f>AR150*0.25</f>
        <v>229.99999999999997</v>
      </c>
      <c r="AT150" s="82" t="s">
        <v>4</v>
      </c>
    </row>
    <row r="151" spans="1:50" customFormat="1" ht="15.75" customHeight="1" x14ac:dyDescent="0.45">
      <c r="A151" s="73">
        <v>9512515114</v>
      </c>
      <c r="B151" s="73">
        <v>893</v>
      </c>
      <c r="C151" s="73" t="s">
        <v>206</v>
      </c>
      <c r="D151" s="73" t="s">
        <v>207</v>
      </c>
      <c r="M151" s="108"/>
      <c r="N151" s="75">
        <f>28/31*972</f>
        <v>877.93548387096769</v>
      </c>
      <c r="O151" s="75">
        <v>972</v>
      </c>
      <c r="P151" s="75">
        <v>972</v>
      </c>
      <c r="Q151" s="75">
        <v>972</v>
      </c>
      <c r="R151" s="88">
        <f>PRODUCT(Q151*1.15)</f>
        <v>1117.8</v>
      </c>
      <c r="S151" s="75">
        <f t="shared" si="48"/>
        <v>1117.8</v>
      </c>
      <c r="T151" s="75">
        <f t="shared" si="48"/>
        <v>1117.8</v>
      </c>
      <c r="U151" s="75">
        <f t="shared" si="48"/>
        <v>1117.8</v>
      </c>
      <c r="V151" s="75">
        <f t="shared" si="48"/>
        <v>1117.8</v>
      </c>
      <c r="W151" s="75">
        <f t="shared" si="48"/>
        <v>1117.8</v>
      </c>
      <c r="X151" s="75">
        <f t="shared" si="48"/>
        <v>1117.8</v>
      </c>
      <c r="Y151" s="75">
        <f t="shared" si="48"/>
        <v>1117.8</v>
      </c>
      <c r="Z151" s="75">
        <f t="shared" si="48"/>
        <v>1117.8</v>
      </c>
      <c r="AA151" s="75">
        <f t="shared" si="48"/>
        <v>1117.8</v>
      </c>
      <c r="AB151" s="78">
        <f t="shared" si="48"/>
        <v>1117.8</v>
      </c>
      <c r="AC151" s="78">
        <f t="shared" si="48"/>
        <v>1117.8</v>
      </c>
      <c r="AD151" s="78">
        <f t="shared" si="48"/>
        <v>1117.8</v>
      </c>
      <c r="AE151" s="78">
        <f t="shared" si="48"/>
        <v>1117.8</v>
      </c>
      <c r="AF151" s="78">
        <f t="shared" si="48"/>
        <v>1117.8</v>
      </c>
      <c r="AG151" s="78">
        <f t="shared" si="48"/>
        <v>1117.8</v>
      </c>
      <c r="AH151" s="78">
        <f t="shared" si="48"/>
        <v>1117.8</v>
      </c>
      <c r="AI151" s="78">
        <f t="shared" si="48"/>
        <v>1117.8</v>
      </c>
      <c r="AJ151" s="78">
        <f t="shared" si="48"/>
        <v>1117.8</v>
      </c>
      <c r="AK151" s="78">
        <f t="shared" si="48"/>
        <v>1117.8</v>
      </c>
      <c r="AL151" s="78">
        <f t="shared" si="48"/>
        <v>1117.8</v>
      </c>
      <c r="AM151" s="78">
        <f t="shared" si="48"/>
        <v>1117.8</v>
      </c>
      <c r="AN151" s="78">
        <f t="shared" si="49"/>
        <v>1117.8</v>
      </c>
      <c r="AO151" s="78">
        <f t="shared" si="49"/>
        <v>1117.8</v>
      </c>
      <c r="AP151" s="78">
        <f t="shared" si="49"/>
        <v>1117.8</v>
      </c>
      <c r="AQ151" s="125">
        <v>1319</v>
      </c>
      <c r="AR151" s="126">
        <v>1319</v>
      </c>
      <c r="AS151" s="126">
        <v>1319</v>
      </c>
      <c r="AT151" s="82" t="s">
        <v>4</v>
      </c>
    </row>
    <row r="152" spans="1:50" customFormat="1" ht="18.5" x14ac:dyDescent="0.45">
      <c r="A152" s="73">
        <v>5213976638</v>
      </c>
      <c r="B152" s="73">
        <v>1000000037</v>
      </c>
      <c r="C152" s="73" t="s">
        <v>208</v>
      </c>
      <c r="D152" s="73" t="s">
        <v>208</v>
      </c>
      <c r="Q152" s="84"/>
      <c r="Z152" s="127"/>
      <c r="AA152" s="89">
        <f>24/30*733</f>
        <v>586.4</v>
      </c>
      <c r="AB152" s="100">
        <v>733</v>
      </c>
      <c r="AC152" s="100">
        <v>733</v>
      </c>
      <c r="AD152" s="100">
        <v>733</v>
      </c>
      <c r="AE152" s="100">
        <v>733</v>
      </c>
      <c r="AF152" s="100">
        <v>733</v>
      </c>
      <c r="AG152" s="100">
        <v>733</v>
      </c>
      <c r="AH152" s="100">
        <v>733</v>
      </c>
      <c r="AI152" s="128">
        <f t="shared" si="49"/>
        <v>733</v>
      </c>
      <c r="AJ152" s="129">
        <f t="shared" si="48"/>
        <v>733</v>
      </c>
      <c r="AK152" s="129">
        <f t="shared" si="48"/>
        <v>733</v>
      </c>
      <c r="AL152" s="129">
        <f t="shared" si="48"/>
        <v>733</v>
      </c>
      <c r="AM152" s="129">
        <f t="shared" si="48"/>
        <v>733</v>
      </c>
      <c r="AN152" s="126">
        <v>1098.75</v>
      </c>
      <c r="AO152" s="126">
        <v>1098.75</v>
      </c>
      <c r="AP152" s="126">
        <v>1098.75</v>
      </c>
      <c r="AQ152" s="126">
        <v>1098.75</v>
      </c>
      <c r="AR152" s="126">
        <v>1098.75</v>
      </c>
      <c r="AS152" s="126">
        <v>1098.75</v>
      </c>
      <c r="AT152" s="130" t="s">
        <v>4</v>
      </c>
    </row>
    <row r="153" spans="1:50" customFormat="1" ht="15.75" customHeight="1" x14ac:dyDescent="0.45">
      <c r="A153" s="73">
        <v>8992866645</v>
      </c>
      <c r="B153" s="73">
        <v>643</v>
      </c>
      <c r="C153" s="73" t="s">
        <v>209</v>
      </c>
      <c r="D153" s="73" t="s">
        <v>210</v>
      </c>
      <c r="E153" s="75">
        <v>693.55</v>
      </c>
      <c r="F153" s="75">
        <v>693.55</v>
      </c>
      <c r="G153" s="75">
        <v>693.55</v>
      </c>
      <c r="H153" s="75">
        <v>693.55</v>
      </c>
      <c r="I153" s="75">
        <v>693.55</v>
      </c>
      <c r="J153" s="76">
        <v>693.55</v>
      </c>
      <c r="K153" s="76">
        <v>693.55</v>
      </c>
      <c r="L153" s="76">
        <v>693.55</v>
      </c>
      <c r="M153" s="75">
        <v>693.55</v>
      </c>
      <c r="N153" s="75">
        <v>693.55</v>
      </c>
      <c r="O153" s="75">
        <v>693.55</v>
      </c>
      <c r="P153" s="75">
        <v>693.55</v>
      </c>
      <c r="Q153" s="75">
        <v>693.55</v>
      </c>
      <c r="R153" s="97">
        <f>Q153*1.15</f>
        <v>797.58249999999987</v>
      </c>
      <c r="S153" s="75">
        <f t="shared" ref="S153:AI158" si="50">R153</f>
        <v>797.58249999999987</v>
      </c>
      <c r="T153" s="75">
        <f t="shared" si="50"/>
        <v>797.58249999999987</v>
      </c>
      <c r="U153" s="75">
        <f t="shared" si="50"/>
        <v>797.58249999999987</v>
      </c>
      <c r="V153" s="75">
        <f t="shared" si="50"/>
        <v>797.58249999999987</v>
      </c>
      <c r="W153" s="75">
        <f t="shared" si="50"/>
        <v>797.58249999999987</v>
      </c>
      <c r="X153" s="75">
        <f t="shared" si="50"/>
        <v>797.58249999999987</v>
      </c>
      <c r="Y153" s="75">
        <f t="shared" si="50"/>
        <v>797.58249999999987</v>
      </c>
      <c r="Z153" s="75">
        <f t="shared" si="50"/>
        <v>797.58249999999987</v>
      </c>
      <c r="AA153" s="75">
        <f t="shared" si="50"/>
        <v>797.58249999999987</v>
      </c>
      <c r="AB153" s="78">
        <f t="shared" si="50"/>
        <v>797.58249999999987</v>
      </c>
      <c r="AC153" s="78">
        <f t="shared" si="50"/>
        <v>797.58249999999987</v>
      </c>
      <c r="AD153" s="78">
        <f t="shared" si="50"/>
        <v>797.58249999999987</v>
      </c>
      <c r="AE153" s="78">
        <f t="shared" si="50"/>
        <v>797.58249999999987</v>
      </c>
      <c r="AF153" s="78">
        <f t="shared" si="50"/>
        <v>797.58249999999987</v>
      </c>
      <c r="AG153" s="78">
        <f t="shared" si="50"/>
        <v>797.58249999999987</v>
      </c>
      <c r="AH153" s="78">
        <f t="shared" si="50"/>
        <v>797.58249999999987</v>
      </c>
      <c r="AI153" s="78">
        <f t="shared" si="50"/>
        <v>797.58249999999987</v>
      </c>
      <c r="AJ153" s="78">
        <f t="shared" si="48"/>
        <v>797.58249999999987</v>
      </c>
      <c r="AK153" s="78">
        <f t="shared" si="48"/>
        <v>797.58249999999987</v>
      </c>
      <c r="AL153" s="78">
        <f t="shared" si="48"/>
        <v>797.58249999999987</v>
      </c>
      <c r="AM153" s="78">
        <f t="shared" si="48"/>
        <v>797.58249999999987</v>
      </c>
      <c r="AN153" s="78">
        <f t="shared" ref="AN153:AS155" si="51">AM153</f>
        <v>797.58249999999987</v>
      </c>
      <c r="AO153" s="78">
        <f t="shared" si="51"/>
        <v>797.58249999999987</v>
      </c>
      <c r="AP153" s="78">
        <f t="shared" si="51"/>
        <v>797.58249999999987</v>
      </c>
      <c r="AQ153" s="78">
        <f t="shared" si="51"/>
        <v>797.58249999999987</v>
      </c>
      <c r="AR153" s="78">
        <f t="shared" si="51"/>
        <v>797.58249999999987</v>
      </c>
      <c r="AS153" s="78">
        <f t="shared" si="51"/>
        <v>797.58249999999987</v>
      </c>
      <c r="AT153" s="94" t="s">
        <v>4</v>
      </c>
    </row>
    <row r="154" spans="1:50" customFormat="1" ht="15.75" customHeight="1" x14ac:dyDescent="0.45">
      <c r="A154" s="73">
        <v>9571078158</v>
      </c>
      <c r="B154" s="73">
        <v>700</v>
      </c>
      <c r="C154" s="73" t="s">
        <v>211</v>
      </c>
      <c r="D154" s="73" t="s">
        <v>212</v>
      </c>
      <c r="E154" s="75">
        <v>1067</v>
      </c>
      <c r="F154" s="75">
        <v>1067</v>
      </c>
      <c r="G154" s="96">
        <f>1067*0.65</f>
        <v>693.55000000000007</v>
      </c>
      <c r="H154" s="75">
        <v>1067</v>
      </c>
      <c r="I154" s="75">
        <v>1067</v>
      </c>
      <c r="J154" s="76">
        <v>1067</v>
      </c>
      <c r="K154" s="76">
        <v>1067</v>
      </c>
      <c r="L154" s="76">
        <v>1067</v>
      </c>
      <c r="M154" s="75">
        <v>1067</v>
      </c>
      <c r="N154" s="75">
        <v>1067</v>
      </c>
      <c r="O154" s="75">
        <v>1067</v>
      </c>
      <c r="P154" s="75">
        <v>1067</v>
      </c>
      <c r="Q154" s="75">
        <v>1067</v>
      </c>
      <c r="R154" s="88">
        <f>PRODUCT(Q154*1.15)</f>
        <v>1227.05</v>
      </c>
      <c r="S154" s="75">
        <f t="shared" si="50"/>
        <v>1227.05</v>
      </c>
      <c r="T154" s="75">
        <f t="shared" si="50"/>
        <v>1227.05</v>
      </c>
      <c r="U154" s="75">
        <f t="shared" si="50"/>
        <v>1227.05</v>
      </c>
      <c r="V154" s="75">
        <f t="shared" si="50"/>
        <v>1227.05</v>
      </c>
      <c r="W154" s="75">
        <f t="shared" si="50"/>
        <v>1227.05</v>
      </c>
      <c r="X154" s="75">
        <f t="shared" si="50"/>
        <v>1227.05</v>
      </c>
      <c r="Y154" s="75">
        <f t="shared" si="50"/>
        <v>1227.05</v>
      </c>
      <c r="Z154" s="75">
        <f t="shared" si="50"/>
        <v>1227.05</v>
      </c>
      <c r="AA154" s="75">
        <f t="shared" si="50"/>
        <v>1227.05</v>
      </c>
      <c r="AB154" s="78">
        <f t="shared" si="50"/>
        <v>1227.05</v>
      </c>
      <c r="AC154" s="78">
        <f t="shared" si="50"/>
        <v>1227.05</v>
      </c>
      <c r="AD154" s="78">
        <f t="shared" si="50"/>
        <v>1227.05</v>
      </c>
      <c r="AE154" s="78">
        <f t="shared" si="50"/>
        <v>1227.05</v>
      </c>
      <c r="AF154" s="78">
        <f t="shared" si="50"/>
        <v>1227.05</v>
      </c>
      <c r="AG154" s="78">
        <f t="shared" si="50"/>
        <v>1227.05</v>
      </c>
      <c r="AH154" s="78">
        <f t="shared" si="50"/>
        <v>1227.05</v>
      </c>
      <c r="AI154" s="78">
        <f t="shared" si="50"/>
        <v>1227.05</v>
      </c>
      <c r="AJ154" s="78">
        <f t="shared" si="48"/>
        <v>1227.05</v>
      </c>
      <c r="AK154" s="78">
        <f t="shared" si="48"/>
        <v>1227.05</v>
      </c>
      <c r="AL154" s="78">
        <f t="shared" si="48"/>
        <v>1227.05</v>
      </c>
      <c r="AM154" s="78">
        <f t="shared" si="48"/>
        <v>1227.05</v>
      </c>
      <c r="AN154" s="78">
        <f t="shared" si="51"/>
        <v>1227.05</v>
      </c>
      <c r="AO154" s="78">
        <f t="shared" si="51"/>
        <v>1227.05</v>
      </c>
      <c r="AP154" s="78">
        <f t="shared" si="51"/>
        <v>1227.05</v>
      </c>
      <c r="AQ154" s="78">
        <f t="shared" si="51"/>
        <v>1227.05</v>
      </c>
      <c r="AR154" s="78">
        <f t="shared" si="51"/>
        <v>1227.05</v>
      </c>
      <c r="AS154" s="78">
        <f t="shared" si="51"/>
        <v>1227.05</v>
      </c>
      <c r="AT154" s="94" t="s">
        <v>4</v>
      </c>
    </row>
    <row r="155" spans="1:50" customFormat="1" ht="15.75" customHeight="1" x14ac:dyDescent="0.45">
      <c r="A155" s="73">
        <v>7831850472</v>
      </c>
      <c r="B155" s="73">
        <v>865</v>
      </c>
      <c r="C155" s="73" t="s">
        <v>213</v>
      </c>
      <c r="D155" s="73" t="s">
        <v>214</v>
      </c>
      <c r="N155" s="75">
        <v>586.54999999999995</v>
      </c>
      <c r="O155" s="75">
        <v>957</v>
      </c>
      <c r="P155" s="75">
        <v>957</v>
      </c>
      <c r="Q155" s="131">
        <f>957+159</f>
        <v>1116</v>
      </c>
      <c r="R155" s="75">
        <f>957+159</f>
        <v>1116</v>
      </c>
      <c r="S155" s="75">
        <f t="shared" si="50"/>
        <v>1116</v>
      </c>
      <c r="T155" s="75">
        <f t="shared" si="50"/>
        <v>1116</v>
      </c>
      <c r="U155" s="75">
        <f t="shared" si="50"/>
        <v>1116</v>
      </c>
      <c r="V155" s="75">
        <f t="shared" si="50"/>
        <v>1116</v>
      </c>
      <c r="W155" s="75">
        <f t="shared" si="50"/>
        <v>1116</v>
      </c>
      <c r="X155" s="75">
        <f t="shared" si="50"/>
        <v>1116</v>
      </c>
      <c r="Y155" s="75">
        <f t="shared" si="50"/>
        <v>1116</v>
      </c>
      <c r="Z155" s="75">
        <f t="shared" si="50"/>
        <v>1116</v>
      </c>
      <c r="AA155" s="75">
        <f t="shared" si="50"/>
        <v>1116</v>
      </c>
      <c r="AB155" s="78">
        <f t="shared" si="50"/>
        <v>1116</v>
      </c>
      <c r="AC155" s="78">
        <f t="shared" si="50"/>
        <v>1116</v>
      </c>
      <c r="AD155" s="78">
        <f t="shared" si="50"/>
        <v>1116</v>
      </c>
      <c r="AE155" s="78">
        <f t="shared" si="50"/>
        <v>1116</v>
      </c>
      <c r="AF155" s="78">
        <f t="shared" si="50"/>
        <v>1116</v>
      </c>
      <c r="AG155" s="78">
        <f t="shared" si="50"/>
        <v>1116</v>
      </c>
      <c r="AH155" s="78">
        <f t="shared" si="50"/>
        <v>1116</v>
      </c>
      <c r="AI155" s="78">
        <f t="shared" si="50"/>
        <v>1116</v>
      </c>
      <c r="AJ155" s="78">
        <f t="shared" si="48"/>
        <v>1116</v>
      </c>
      <c r="AK155" s="78">
        <f t="shared" si="48"/>
        <v>1116</v>
      </c>
      <c r="AL155" s="78">
        <f t="shared" si="48"/>
        <v>1116</v>
      </c>
      <c r="AM155" s="78">
        <f t="shared" si="48"/>
        <v>1116</v>
      </c>
      <c r="AN155" s="78">
        <f t="shared" si="51"/>
        <v>1116</v>
      </c>
      <c r="AO155" s="78">
        <f t="shared" si="51"/>
        <v>1116</v>
      </c>
      <c r="AP155" s="78">
        <f t="shared" si="51"/>
        <v>1116</v>
      </c>
      <c r="AQ155" s="78">
        <f t="shared" si="51"/>
        <v>1116</v>
      </c>
      <c r="AR155" s="78">
        <f t="shared" si="51"/>
        <v>1116</v>
      </c>
      <c r="AS155" s="78">
        <f t="shared" si="51"/>
        <v>1116</v>
      </c>
      <c r="AT155" s="82" t="s">
        <v>4</v>
      </c>
    </row>
    <row r="156" spans="1:50" customFormat="1" ht="15.75" customHeight="1" x14ac:dyDescent="0.45">
      <c r="A156" s="73">
        <v>9691227253</v>
      </c>
      <c r="B156" s="73">
        <v>545</v>
      </c>
      <c r="C156" s="73" t="s">
        <v>215</v>
      </c>
      <c r="D156" s="74" t="s">
        <v>216</v>
      </c>
      <c r="E156" s="75">
        <v>1220</v>
      </c>
      <c r="F156" s="75">
        <v>1220</v>
      </c>
      <c r="G156" s="75">
        <v>1220</v>
      </c>
      <c r="H156" s="75">
        <v>1220</v>
      </c>
      <c r="I156" s="75">
        <v>1220</v>
      </c>
      <c r="J156" s="76">
        <v>1220</v>
      </c>
      <c r="K156" s="76">
        <v>1220</v>
      </c>
      <c r="L156" s="76">
        <v>1220</v>
      </c>
      <c r="M156" s="75">
        <v>1220</v>
      </c>
      <c r="N156" s="75">
        <v>1220</v>
      </c>
      <c r="O156" s="75">
        <v>1220</v>
      </c>
      <c r="P156" s="75">
        <v>1220</v>
      </c>
      <c r="Q156" s="75">
        <v>1220</v>
      </c>
      <c r="R156" s="97">
        <f>Q156*1.15</f>
        <v>1403</v>
      </c>
      <c r="S156" s="75">
        <f t="shared" si="50"/>
        <v>1403</v>
      </c>
      <c r="T156" s="75">
        <f t="shared" si="50"/>
        <v>1403</v>
      </c>
      <c r="U156" s="75">
        <f t="shared" si="50"/>
        <v>1403</v>
      </c>
      <c r="V156" s="75">
        <f t="shared" si="50"/>
        <v>1403</v>
      </c>
      <c r="W156" s="75">
        <f t="shared" si="50"/>
        <v>1403</v>
      </c>
      <c r="X156" s="75">
        <f t="shared" si="50"/>
        <v>1403</v>
      </c>
      <c r="Y156" s="75">
        <f t="shared" si="50"/>
        <v>1403</v>
      </c>
      <c r="Z156" s="75">
        <f t="shared" si="50"/>
        <v>1403</v>
      </c>
      <c r="AA156" s="75">
        <f t="shared" si="50"/>
        <v>1403</v>
      </c>
      <c r="AB156" s="78">
        <f t="shared" si="50"/>
        <v>1403</v>
      </c>
      <c r="AC156" s="78">
        <f t="shared" si="50"/>
        <v>1403</v>
      </c>
      <c r="AD156" s="78">
        <f t="shared" si="50"/>
        <v>1403</v>
      </c>
      <c r="AE156" s="78">
        <f t="shared" si="50"/>
        <v>1403</v>
      </c>
      <c r="AF156" s="78">
        <v>1403</v>
      </c>
      <c r="AG156" s="78">
        <v>1403</v>
      </c>
      <c r="AH156" s="78">
        <v>1403</v>
      </c>
      <c r="AI156" s="128">
        <v>1100</v>
      </c>
      <c r="AJ156" s="126">
        <v>1100</v>
      </c>
      <c r="AK156" s="126">
        <v>1100</v>
      </c>
      <c r="AL156" s="126">
        <v>1100</v>
      </c>
      <c r="AM156" s="126">
        <v>1100</v>
      </c>
      <c r="AN156" s="126">
        <v>1100</v>
      </c>
      <c r="AO156" s="126">
        <v>1100</v>
      </c>
      <c r="AP156" s="126">
        <v>1100</v>
      </c>
      <c r="AQ156" s="126">
        <v>1100</v>
      </c>
      <c r="AR156" s="126">
        <v>1100</v>
      </c>
      <c r="AS156" s="130" t="s">
        <v>4</v>
      </c>
      <c r="AT156" s="132"/>
      <c r="AU156" s="132"/>
    </row>
    <row r="157" spans="1:50" customFormat="1" ht="15.75" customHeight="1" x14ac:dyDescent="0.45">
      <c r="A157" s="73">
        <v>5542485321</v>
      </c>
      <c r="B157" s="73">
        <v>876</v>
      </c>
      <c r="C157" s="73" t="s">
        <v>217</v>
      </c>
      <c r="D157" s="73" t="s">
        <v>218</v>
      </c>
      <c r="M157" s="75">
        <f>25/30*1100</f>
        <v>916.66666666666674</v>
      </c>
      <c r="N157" s="75">
        <v>1100</v>
      </c>
      <c r="O157" s="75">
        <v>1100</v>
      </c>
      <c r="P157" s="75">
        <v>1100</v>
      </c>
      <c r="Q157" s="75">
        <v>1100</v>
      </c>
      <c r="R157" s="75">
        <v>1100</v>
      </c>
      <c r="S157" s="75">
        <f t="shared" si="50"/>
        <v>1100</v>
      </c>
      <c r="T157" s="75">
        <f t="shared" si="50"/>
        <v>1100</v>
      </c>
      <c r="U157" s="75">
        <f t="shared" si="50"/>
        <v>1100</v>
      </c>
      <c r="V157" s="75">
        <f t="shared" si="50"/>
        <v>1100</v>
      </c>
      <c r="W157" s="75">
        <f t="shared" si="50"/>
        <v>1100</v>
      </c>
      <c r="X157" s="75">
        <f t="shared" si="50"/>
        <v>1100</v>
      </c>
      <c r="Y157" s="75">
        <f t="shared" si="50"/>
        <v>1100</v>
      </c>
      <c r="Z157" s="75">
        <f t="shared" si="50"/>
        <v>1100</v>
      </c>
      <c r="AA157" s="75">
        <f t="shared" si="50"/>
        <v>1100</v>
      </c>
      <c r="AB157" s="78">
        <f t="shared" si="50"/>
        <v>1100</v>
      </c>
      <c r="AC157" s="78">
        <f t="shared" si="50"/>
        <v>1100</v>
      </c>
      <c r="AD157" s="78">
        <f t="shared" si="50"/>
        <v>1100</v>
      </c>
      <c r="AE157" s="78">
        <v>1100</v>
      </c>
      <c r="AF157" s="78">
        <v>1100</v>
      </c>
      <c r="AG157" s="78">
        <v>1100</v>
      </c>
      <c r="AH157" s="78">
        <v>1100</v>
      </c>
      <c r="AI157" s="78">
        <v>1100</v>
      </c>
      <c r="AJ157" s="78">
        <v>1100</v>
      </c>
      <c r="AK157" s="78">
        <v>1100</v>
      </c>
      <c r="AL157" s="78">
        <v>1100</v>
      </c>
      <c r="AM157" s="78">
        <v>1100</v>
      </c>
      <c r="AN157" s="78">
        <v>1100</v>
      </c>
      <c r="AO157" s="78">
        <v>1100</v>
      </c>
      <c r="AP157" s="78">
        <v>1100</v>
      </c>
      <c r="AQ157" s="125">
        <v>1375</v>
      </c>
      <c r="AR157" s="126">
        <v>1375</v>
      </c>
      <c r="AS157" s="126">
        <v>1375</v>
      </c>
      <c r="AT157" s="126">
        <v>1375</v>
      </c>
      <c r="AU157" s="82" t="s">
        <v>4</v>
      </c>
    </row>
    <row r="158" spans="1:50" customFormat="1" ht="15.75" customHeight="1" x14ac:dyDescent="0.45">
      <c r="A158" s="73">
        <v>6443013625</v>
      </c>
      <c r="B158" s="73">
        <v>691</v>
      </c>
      <c r="C158" s="73" t="s">
        <v>219</v>
      </c>
      <c r="D158" s="73" t="s">
        <v>220</v>
      </c>
      <c r="E158" s="75">
        <v>1219.51</v>
      </c>
      <c r="F158" s="75">
        <v>1219.51</v>
      </c>
      <c r="G158" s="75">
        <v>1219.51</v>
      </c>
      <c r="H158" s="75">
        <v>1219.51</v>
      </c>
      <c r="I158" s="75">
        <v>1219.51</v>
      </c>
      <c r="J158" s="76">
        <v>1219.51</v>
      </c>
      <c r="K158" s="76">
        <v>1219.51</v>
      </c>
      <c r="L158" s="76">
        <v>1219.51</v>
      </c>
      <c r="M158" s="75">
        <v>1219.51</v>
      </c>
      <c r="N158" s="75">
        <v>1219.51</v>
      </c>
      <c r="O158" s="75">
        <v>1219.51</v>
      </c>
      <c r="P158" s="75">
        <v>1219.51</v>
      </c>
      <c r="Q158" s="75">
        <v>1219.51</v>
      </c>
      <c r="R158" s="133">
        <f>PRODUCT(Q158*1.15)</f>
        <v>1402.4364999999998</v>
      </c>
      <c r="S158" s="75">
        <f t="shared" si="50"/>
        <v>1402.4364999999998</v>
      </c>
      <c r="T158" s="75">
        <f t="shared" si="50"/>
        <v>1402.4364999999998</v>
      </c>
      <c r="U158" s="75">
        <f t="shared" si="50"/>
        <v>1402.4364999999998</v>
      </c>
      <c r="V158" s="75">
        <f t="shared" si="50"/>
        <v>1402.4364999999998</v>
      </c>
      <c r="W158" s="75">
        <f t="shared" si="50"/>
        <v>1402.4364999999998</v>
      </c>
      <c r="X158" s="75">
        <f t="shared" si="50"/>
        <v>1402.4364999999998</v>
      </c>
      <c r="Y158" s="75">
        <f t="shared" si="50"/>
        <v>1402.4364999999998</v>
      </c>
      <c r="Z158" s="75">
        <f t="shared" si="50"/>
        <v>1402.4364999999998</v>
      </c>
      <c r="AA158" s="75">
        <f t="shared" si="50"/>
        <v>1402.4364999999998</v>
      </c>
      <c r="AB158" s="78">
        <f t="shared" si="50"/>
        <v>1402.4364999999998</v>
      </c>
      <c r="AC158" s="78">
        <f t="shared" si="50"/>
        <v>1402.4364999999998</v>
      </c>
      <c r="AD158" s="78">
        <f t="shared" si="50"/>
        <v>1402.4364999999998</v>
      </c>
      <c r="AE158" s="78">
        <f t="shared" si="50"/>
        <v>1402.4364999999998</v>
      </c>
      <c r="AF158" s="78">
        <f t="shared" si="50"/>
        <v>1402.4364999999998</v>
      </c>
      <c r="AG158" s="78">
        <f t="shared" si="50"/>
        <v>1402.4364999999998</v>
      </c>
      <c r="AH158" s="78">
        <f t="shared" si="50"/>
        <v>1402.4364999999998</v>
      </c>
      <c r="AI158" s="78">
        <f t="shared" si="50"/>
        <v>1402.4364999999998</v>
      </c>
      <c r="AJ158" s="78">
        <f t="shared" ref="AJ158:AT158" si="52">AI158</f>
        <v>1402.4364999999998</v>
      </c>
      <c r="AK158" s="78">
        <f t="shared" si="52"/>
        <v>1402.4364999999998</v>
      </c>
      <c r="AL158" s="78">
        <f t="shared" si="52"/>
        <v>1402.4364999999998</v>
      </c>
      <c r="AM158" s="78">
        <f t="shared" si="52"/>
        <v>1402.4364999999998</v>
      </c>
      <c r="AN158" s="78">
        <f t="shared" si="52"/>
        <v>1402.4364999999998</v>
      </c>
      <c r="AO158" s="78">
        <f t="shared" si="52"/>
        <v>1402.4364999999998</v>
      </c>
      <c r="AP158" s="78">
        <f t="shared" si="52"/>
        <v>1402.4364999999998</v>
      </c>
      <c r="AQ158" s="78">
        <f t="shared" si="52"/>
        <v>1402.4364999999998</v>
      </c>
      <c r="AR158" s="78">
        <f t="shared" si="52"/>
        <v>1402.4364999999998</v>
      </c>
      <c r="AS158" s="78">
        <f t="shared" si="52"/>
        <v>1402.4364999999998</v>
      </c>
      <c r="AT158" s="90">
        <f t="shared" si="52"/>
        <v>1402.4364999999998</v>
      </c>
      <c r="AU158" s="82" t="s">
        <v>45</v>
      </c>
    </row>
    <row r="159" spans="1:50" customFormat="1" ht="18.5" x14ac:dyDescent="0.45">
      <c r="A159" s="73">
        <v>5213983383</v>
      </c>
      <c r="B159" s="73">
        <v>1000000013</v>
      </c>
      <c r="C159" s="134" t="s">
        <v>221</v>
      </c>
      <c r="D159" s="74" t="s">
        <v>222</v>
      </c>
      <c r="Q159" s="84"/>
      <c r="W159" s="108"/>
      <c r="X159" s="75">
        <v>1803</v>
      </c>
      <c r="Y159" s="75">
        <v>1803</v>
      </c>
      <c r="Z159" s="124">
        <f>Y159+(8/31*169)</f>
        <v>1846.6129032258063</v>
      </c>
      <c r="AA159" s="98">
        <f>Y159+169+(9/30*169)*3</f>
        <v>2124.1</v>
      </c>
      <c r="AB159" s="135">
        <f>1803+5*169+(26/31*169)</f>
        <v>2789.7419354838712</v>
      </c>
      <c r="AC159" s="135">
        <f>1803+5*169+169</f>
        <v>2817</v>
      </c>
      <c r="AD159" s="100">
        <v>2817</v>
      </c>
      <c r="AE159" s="100">
        <v>2817</v>
      </c>
      <c r="AF159" s="100">
        <v>2817</v>
      </c>
      <c r="AG159" s="100">
        <v>2817</v>
      </c>
      <c r="AH159" s="100">
        <v>2817</v>
      </c>
      <c r="AI159" s="100">
        <v>2817</v>
      </c>
      <c r="AJ159" s="100">
        <v>2817</v>
      </c>
      <c r="AK159" s="100">
        <v>2817</v>
      </c>
      <c r="AL159" s="100">
        <v>2817</v>
      </c>
      <c r="AM159" s="100">
        <v>2817</v>
      </c>
      <c r="AN159" s="100">
        <v>2817</v>
      </c>
      <c r="AO159" s="100">
        <v>2817</v>
      </c>
      <c r="AP159" s="100">
        <v>2817</v>
      </c>
      <c r="AQ159" s="136">
        <v>3098.7</v>
      </c>
      <c r="AR159" s="86">
        <v>3098.7</v>
      </c>
      <c r="AS159" s="86">
        <v>3098.7</v>
      </c>
      <c r="AT159" s="86">
        <v>3098.7</v>
      </c>
      <c r="AU159" s="86">
        <v>3098.7</v>
      </c>
      <c r="AV159" s="86">
        <v>3098.7</v>
      </c>
      <c r="AW159" s="87" t="s">
        <v>4</v>
      </c>
    </row>
    <row r="160" spans="1:50" customFormat="1" ht="18.5" x14ac:dyDescent="0.45">
      <c r="A160" s="73">
        <v>5214038422</v>
      </c>
      <c r="B160" s="73">
        <v>1000000107</v>
      </c>
      <c r="C160" s="73" t="s">
        <v>223</v>
      </c>
      <c r="D160" s="74" t="s">
        <v>223</v>
      </c>
      <c r="Q160" s="84"/>
      <c r="AI160" s="128">
        <f>718.5*9/31</f>
        <v>208.59677419354838</v>
      </c>
      <c r="AJ160" s="126">
        <f t="shared" ref="AJ160:AV160" si="53">718.5</f>
        <v>718.5</v>
      </c>
      <c r="AK160" s="126">
        <f t="shared" si="53"/>
        <v>718.5</v>
      </c>
      <c r="AL160" s="126">
        <f t="shared" si="53"/>
        <v>718.5</v>
      </c>
      <c r="AM160" s="126">
        <f t="shared" si="53"/>
        <v>718.5</v>
      </c>
      <c r="AN160" s="126">
        <f t="shared" si="53"/>
        <v>718.5</v>
      </c>
      <c r="AO160" s="126">
        <f t="shared" si="53"/>
        <v>718.5</v>
      </c>
      <c r="AP160" s="126">
        <f t="shared" si="53"/>
        <v>718.5</v>
      </c>
      <c r="AQ160" s="126">
        <f t="shared" si="53"/>
        <v>718.5</v>
      </c>
      <c r="AR160" s="126">
        <f t="shared" si="53"/>
        <v>718.5</v>
      </c>
      <c r="AS160" s="126">
        <f t="shared" si="53"/>
        <v>718.5</v>
      </c>
      <c r="AT160" s="126">
        <f t="shared" si="53"/>
        <v>718.5</v>
      </c>
      <c r="AU160" s="126">
        <f t="shared" si="53"/>
        <v>718.5</v>
      </c>
      <c r="AV160" s="126">
        <f t="shared" si="53"/>
        <v>718.5</v>
      </c>
      <c r="AW160" s="137" t="s">
        <v>4</v>
      </c>
      <c r="AX160" s="132"/>
    </row>
    <row r="161" spans="1:50" customFormat="1" ht="18.75" customHeight="1" x14ac:dyDescent="0.45">
      <c r="A161" s="73">
        <v>8291543085</v>
      </c>
      <c r="B161" s="73">
        <v>447</v>
      </c>
      <c r="C161" s="81" t="s">
        <v>224</v>
      </c>
      <c r="D161" s="74" t="s">
        <v>225</v>
      </c>
      <c r="E161" s="75">
        <f t="shared" ref="E161:Q161" si="54">649+69</f>
        <v>718</v>
      </c>
      <c r="F161" s="75">
        <f t="shared" si="54"/>
        <v>718</v>
      </c>
      <c r="G161" s="75">
        <f t="shared" si="54"/>
        <v>718</v>
      </c>
      <c r="H161" s="75">
        <f t="shared" si="54"/>
        <v>718</v>
      </c>
      <c r="I161" s="75">
        <f t="shared" si="54"/>
        <v>718</v>
      </c>
      <c r="J161" s="76">
        <f t="shared" si="54"/>
        <v>718</v>
      </c>
      <c r="K161" s="76">
        <f t="shared" si="54"/>
        <v>718</v>
      </c>
      <c r="L161" s="75">
        <f t="shared" si="54"/>
        <v>718</v>
      </c>
      <c r="M161" s="75">
        <f t="shared" si="54"/>
        <v>718</v>
      </c>
      <c r="N161" s="75">
        <f t="shared" si="54"/>
        <v>718</v>
      </c>
      <c r="O161" s="75">
        <f t="shared" si="54"/>
        <v>718</v>
      </c>
      <c r="P161" s="75">
        <f t="shared" si="54"/>
        <v>718</v>
      </c>
      <c r="Q161" s="75">
        <f t="shared" si="54"/>
        <v>718</v>
      </c>
      <c r="R161" s="97">
        <f>Q161*1.15</f>
        <v>825.69999999999993</v>
      </c>
      <c r="S161" s="75">
        <f>649*1.15</f>
        <v>746.34999999999991</v>
      </c>
      <c r="T161" s="75">
        <f t="shared" ref="T161:AI163" si="55">S161</f>
        <v>746.34999999999991</v>
      </c>
      <c r="U161" s="75">
        <f t="shared" si="55"/>
        <v>746.34999999999991</v>
      </c>
      <c r="V161" s="75">
        <f t="shared" si="55"/>
        <v>746.34999999999991</v>
      </c>
      <c r="W161" s="75">
        <f t="shared" si="55"/>
        <v>746.34999999999991</v>
      </c>
      <c r="X161" s="75">
        <f t="shared" si="55"/>
        <v>746.34999999999991</v>
      </c>
      <c r="Y161" s="75">
        <f t="shared" si="55"/>
        <v>746.34999999999991</v>
      </c>
      <c r="Z161" s="75">
        <f t="shared" si="55"/>
        <v>746.34999999999991</v>
      </c>
      <c r="AA161" s="75">
        <f t="shared" si="55"/>
        <v>746.34999999999991</v>
      </c>
      <c r="AB161" s="78">
        <f t="shared" si="55"/>
        <v>746.34999999999991</v>
      </c>
      <c r="AC161" s="78">
        <f t="shared" si="55"/>
        <v>746.34999999999991</v>
      </c>
      <c r="AD161" s="78">
        <f t="shared" si="55"/>
        <v>746.34999999999991</v>
      </c>
      <c r="AE161" s="78">
        <f t="shared" si="55"/>
        <v>746.34999999999991</v>
      </c>
      <c r="AF161" s="78">
        <f t="shared" si="55"/>
        <v>746.34999999999991</v>
      </c>
      <c r="AG161" s="78">
        <v>746.34999999999991</v>
      </c>
      <c r="AH161" s="78">
        <v>746.34999999999991</v>
      </c>
      <c r="AI161" s="78">
        <v>746.34999999999991</v>
      </c>
      <c r="AJ161" s="78">
        <v>746.34999999999991</v>
      </c>
      <c r="AK161" s="78">
        <v>746.34999999999991</v>
      </c>
      <c r="AL161" s="78">
        <v>746.34999999999991</v>
      </c>
      <c r="AM161" s="78">
        <v>746.34999999999991</v>
      </c>
      <c r="AN161" s="78">
        <v>746.34999999999991</v>
      </c>
      <c r="AO161" s="78">
        <v>746.34999999999991</v>
      </c>
      <c r="AP161" s="78">
        <v>746.34999999999991</v>
      </c>
      <c r="AQ161" s="78">
        <v>746.34999999999991</v>
      </c>
      <c r="AR161" s="78">
        <v>746.34999999999991</v>
      </c>
      <c r="AS161" s="78">
        <v>746.34999999999991</v>
      </c>
      <c r="AT161" s="90">
        <v>746.34999999999991</v>
      </c>
      <c r="AU161" s="90">
        <v>746.34999999999991</v>
      </c>
      <c r="AV161" s="90">
        <v>746.34999999999991</v>
      </c>
      <c r="AW161" s="87" t="s">
        <v>4</v>
      </c>
    </row>
    <row r="162" spans="1:50" customFormat="1" ht="15.75" customHeight="1" x14ac:dyDescent="0.45">
      <c r="A162" s="73">
        <v>9571120216</v>
      </c>
      <c r="B162" s="73">
        <v>872</v>
      </c>
      <c r="C162" s="73" t="s">
        <v>226</v>
      </c>
      <c r="D162" s="73" t="s">
        <v>227</v>
      </c>
      <c r="M162" s="75">
        <f>16/30*755</f>
        <v>402.66666666666669</v>
      </c>
      <c r="N162" s="75">
        <v>755</v>
      </c>
      <c r="O162" s="75">
        <v>755</v>
      </c>
      <c r="P162" s="96">
        <f>0.53*1006+0.47*755</f>
        <v>888.03</v>
      </c>
      <c r="Q162" s="75">
        <v>1006</v>
      </c>
      <c r="R162" s="88">
        <f>PRODUCT(Q162*1.15)</f>
        <v>1156.8999999999999</v>
      </c>
      <c r="S162" s="75">
        <f t="shared" ref="S162:V163" si="56">R162</f>
        <v>1156.8999999999999</v>
      </c>
      <c r="T162" s="75">
        <f t="shared" si="56"/>
        <v>1156.8999999999999</v>
      </c>
      <c r="U162" s="75">
        <f t="shared" si="56"/>
        <v>1156.8999999999999</v>
      </c>
      <c r="V162" s="75">
        <f t="shared" si="56"/>
        <v>1156.8999999999999</v>
      </c>
      <c r="W162" s="75">
        <f>V162+110*(31-24)/31</f>
        <v>1181.7387096774191</v>
      </c>
      <c r="X162" s="98">
        <f>1156.9+110</f>
        <v>1266.9000000000001</v>
      </c>
      <c r="Y162" s="75">
        <f t="shared" si="55"/>
        <v>1266.9000000000001</v>
      </c>
      <c r="Z162" s="75">
        <f t="shared" si="55"/>
        <v>1266.9000000000001</v>
      </c>
      <c r="AA162" s="75">
        <f t="shared" si="55"/>
        <v>1266.9000000000001</v>
      </c>
      <c r="AB162" s="78">
        <f t="shared" si="55"/>
        <v>1266.9000000000001</v>
      </c>
      <c r="AC162" s="78">
        <f t="shared" si="55"/>
        <v>1266.9000000000001</v>
      </c>
      <c r="AD162" s="98">
        <f>AC162+169</f>
        <v>1435.9</v>
      </c>
      <c r="AE162" s="78">
        <v>1435.9</v>
      </c>
      <c r="AF162" s="78">
        <v>1435.9</v>
      </c>
      <c r="AG162" s="78">
        <v>1435.9</v>
      </c>
      <c r="AH162" s="78">
        <v>1435.9</v>
      </c>
      <c r="AI162" s="78">
        <v>1435.9</v>
      </c>
      <c r="AJ162" s="78">
        <v>1435.9</v>
      </c>
      <c r="AK162" s="78">
        <v>1435.9</v>
      </c>
      <c r="AL162" s="78">
        <v>1435.9</v>
      </c>
      <c r="AM162" s="78">
        <v>1435.9</v>
      </c>
      <c r="AN162" s="78">
        <v>1435.9</v>
      </c>
      <c r="AO162" s="78">
        <v>1435.9</v>
      </c>
      <c r="AP162" s="78">
        <v>1435.9</v>
      </c>
      <c r="AQ162" s="125">
        <v>1651.29</v>
      </c>
      <c r="AR162" s="126">
        <v>1651.29</v>
      </c>
      <c r="AS162" s="126">
        <v>1651.29</v>
      </c>
      <c r="AT162" s="126">
        <v>1651.29</v>
      </c>
      <c r="AU162" s="126">
        <v>1651.29</v>
      </c>
      <c r="AV162" s="126">
        <v>1651.29</v>
      </c>
      <c r="AW162" s="126">
        <v>1651.29</v>
      </c>
      <c r="AX162" s="82" t="s">
        <v>4</v>
      </c>
    </row>
    <row r="163" spans="1:50" customFormat="1" ht="15.75" customHeight="1" x14ac:dyDescent="0.45">
      <c r="A163" s="73">
        <v>6751694710</v>
      </c>
      <c r="B163" s="73">
        <v>792</v>
      </c>
      <c r="C163" s="73" t="s">
        <v>228</v>
      </c>
      <c r="D163" s="73" t="s">
        <v>229</v>
      </c>
      <c r="F163" s="75">
        <f>7/28*350.4065041</f>
        <v>87.601626025000002</v>
      </c>
      <c r="G163" s="75">
        <f t="shared" ref="G163:Q163" si="57">431/1.23</f>
        <v>350.40650406504068</v>
      </c>
      <c r="H163" s="75">
        <f t="shared" si="57"/>
        <v>350.40650406504068</v>
      </c>
      <c r="I163" s="75">
        <f t="shared" si="57"/>
        <v>350.40650406504068</v>
      </c>
      <c r="J163" s="75">
        <f t="shared" si="57"/>
        <v>350.40650406504068</v>
      </c>
      <c r="K163" s="75">
        <f t="shared" si="57"/>
        <v>350.40650406504068</v>
      </c>
      <c r="L163" s="75">
        <f t="shared" si="57"/>
        <v>350.40650406504068</v>
      </c>
      <c r="M163" s="75">
        <f t="shared" si="57"/>
        <v>350.40650406504068</v>
      </c>
      <c r="N163" s="75">
        <f t="shared" si="57"/>
        <v>350.40650406504068</v>
      </c>
      <c r="O163" s="75">
        <f t="shared" si="57"/>
        <v>350.40650406504068</v>
      </c>
      <c r="P163" s="75">
        <f t="shared" si="57"/>
        <v>350.40650406504068</v>
      </c>
      <c r="Q163" s="75">
        <f t="shared" si="57"/>
        <v>350.40650406504068</v>
      </c>
      <c r="R163" s="97">
        <f>Q163*1.15</f>
        <v>402.96747967479678</v>
      </c>
      <c r="S163" s="75">
        <f t="shared" si="56"/>
        <v>402.96747967479678</v>
      </c>
      <c r="T163" s="75">
        <f t="shared" si="56"/>
        <v>402.96747967479678</v>
      </c>
      <c r="U163" s="75">
        <f t="shared" si="56"/>
        <v>402.96747967479678</v>
      </c>
      <c r="V163" s="75">
        <f t="shared" si="56"/>
        <v>402.96747967479678</v>
      </c>
      <c r="W163" s="75">
        <f>V163</f>
        <v>402.96747967479678</v>
      </c>
      <c r="X163" s="75">
        <f>W163</f>
        <v>402.96747967479678</v>
      </c>
      <c r="Y163" s="75">
        <f t="shared" si="55"/>
        <v>402.96747967479678</v>
      </c>
      <c r="Z163" s="75">
        <f t="shared" si="55"/>
        <v>402.96747967479678</v>
      </c>
      <c r="AA163" s="75">
        <f t="shared" si="55"/>
        <v>402.96747967479678</v>
      </c>
      <c r="AB163" s="78">
        <f t="shared" si="55"/>
        <v>402.96747967479678</v>
      </c>
      <c r="AC163" s="78">
        <f t="shared" si="55"/>
        <v>402.96747967479678</v>
      </c>
      <c r="AD163" s="78">
        <f t="shared" si="55"/>
        <v>402.96747967479678</v>
      </c>
      <c r="AE163" s="78">
        <f t="shared" si="55"/>
        <v>402.96747967479678</v>
      </c>
      <c r="AF163" s="78">
        <f t="shared" si="55"/>
        <v>402.96747967479678</v>
      </c>
      <c r="AG163" s="78">
        <f t="shared" si="55"/>
        <v>402.96747967479678</v>
      </c>
      <c r="AH163" s="78">
        <f t="shared" si="55"/>
        <v>402.96747967479678</v>
      </c>
      <c r="AI163" s="78">
        <f t="shared" si="55"/>
        <v>402.96747967479678</v>
      </c>
      <c r="AJ163" s="78">
        <f t="shared" ref="AJ163:AW163" si="58">AI163</f>
        <v>402.96747967479678</v>
      </c>
      <c r="AK163" s="78">
        <f t="shared" si="58"/>
        <v>402.96747967479678</v>
      </c>
      <c r="AL163" s="78">
        <f t="shared" si="58"/>
        <v>402.96747967479678</v>
      </c>
      <c r="AM163" s="78">
        <f t="shared" si="58"/>
        <v>402.96747967479678</v>
      </c>
      <c r="AN163" s="78">
        <f t="shared" si="58"/>
        <v>402.96747967479678</v>
      </c>
      <c r="AO163" s="78">
        <f t="shared" si="58"/>
        <v>402.96747967479678</v>
      </c>
      <c r="AP163" s="78">
        <f t="shared" si="58"/>
        <v>402.96747967479678</v>
      </c>
      <c r="AQ163" s="78">
        <f t="shared" si="58"/>
        <v>402.96747967479678</v>
      </c>
      <c r="AR163" s="78">
        <f t="shared" si="58"/>
        <v>402.96747967479678</v>
      </c>
      <c r="AS163" s="78">
        <f t="shared" si="58"/>
        <v>402.96747967479678</v>
      </c>
      <c r="AT163" s="90">
        <f t="shared" si="58"/>
        <v>402.96747967479678</v>
      </c>
      <c r="AU163" s="90">
        <f t="shared" si="58"/>
        <v>402.96747967479678</v>
      </c>
      <c r="AV163" s="90">
        <f t="shared" si="58"/>
        <v>402.96747967479678</v>
      </c>
      <c r="AW163" s="90">
        <f t="shared" si="58"/>
        <v>402.96747967479678</v>
      </c>
      <c r="AX163" s="87" t="s">
        <v>4</v>
      </c>
    </row>
    <row r="164" spans="1:50" customFormat="1" ht="18.5" x14ac:dyDescent="0.45">
      <c r="A164" s="73"/>
      <c r="B164" s="73"/>
      <c r="C164" s="73"/>
      <c r="D164" s="74"/>
      <c r="AI164" s="138"/>
      <c r="AJ164" s="132"/>
      <c r="AK164" s="132"/>
      <c r="AL164" s="132"/>
      <c r="AM164" s="132"/>
      <c r="AN164" s="132"/>
      <c r="AO164" s="132"/>
      <c r="AP164" s="132"/>
      <c r="AQ164" s="132"/>
      <c r="AR164" s="132"/>
      <c r="AS164" s="132"/>
      <c r="AT164" s="132"/>
      <c r="AU164" s="132"/>
      <c r="AV164" s="132"/>
      <c r="AW164" s="139"/>
      <c r="AX164" s="132"/>
    </row>
    <row r="165" spans="1:50" customFormat="1" ht="18.5" x14ac:dyDescent="0.45">
      <c r="A165" s="73"/>
      <c r="B165" s="73"/>
      <c r="C165" s="73"/>
      <c r="D165" s="74"/>
      <c r="AI165" s="138"/>
      <c r="AJ165" s="132"/>
      <c r="AK165" s="132"/>
      <c r="AL165" s="132"/>
      <c r="AM165" s="132"/>
      <c r="AN165" s="132"/>
      <c r="AO165" s="132"/>
      <c r="AP165" s="132"/>
      <c r="AQ165" s="132"/>
      <c r="AR165" s="132"/>
      <c r="AS165" s="132"/>
      <c r="AT165" s="132"/>
      <c r="AU165" s="132"/>
      <c r="AV165" s="132"/>
      <c r="AW165" s="139"/>
      <c r="AX165" s="132"/>
    </row>
    <row r="166" spans="1:50" customFormat="1" ht="18.5" x14ac:dyDescent="0.45">
      <c r="A166" s="73"/>
      <c r="B166" s="73"/>
      <c r="C166" s="73"/>
      <c r="D166" s="74"/>
      <c r="AI166" s="138"/>
      <c r="AJ166" s="132"/>
      <c r="AK166" s="132"/>
      <c r="AL166" s="132"/>
      <c r="AM166" s="132"/>
      <c r="AN166" s="132"/>
      <c r="AO166" s="132"/>
      <c r="AP166" s="132"/>
      <c r="AQ166" s="132"/>
      <c r="AR166" s="132"/>
      <c r="AS166" s="132"/>
      <c r="AT166" s="132"/>
      <c r="AU166" s="132"/>
      <c r="AV166" s="132"/>
      <c r="AW166" s="139"/>
      <c r="AX166" s="132"/>
    </row>
    <row r="167" spans="1:50" customFormat="1" ht="18.5" x14ac:dyDescent="0.45">
      <c r="A167" s="73"/>
      <c r="B167" s="73"/>
      <c r="C167" s="73"/>
      <c r="D167" s="74"/>
      <c r="AI167" s="138"/>
      <c r="AJ167" s="132"/>
      <c r="AK167" s="132"/>
      <c r="AL167" s="132"/>
      <c r="AM167" s="132"/>
      <c r="AN167" s="132"/>
      <c r="AO167" s="132"/>
      <c r="AP167" s="132"/>
      <c r="AQ167" s="132"/>
      <c r="AR167" s="132"/>
      <c r="AS167" s="132"/>
      <c r="AT167" s="132"/>
      <c r="AU167" s="132"/>
      <c r="AV167" s="132"/>
      <c r="AW167" s="139"/>
      <c r="AX167" s="132"/>
    </row>
    <row r="168" spans="1:50" customFormat="1" ht="15.75" customHeight="1" x14ac:dyDescent="0.45">
      <c r="A168" s="73"/>
      <c r="B168" s="107"/>
      <c r="C168" s="73"/>
      <c r="D168" s="73"/>
      <c r="O168" s="108"/>
      <c r="P168" s="108"/>
      <c r="U168" s="109"/>
      <c r="AS168" s="140"/>
      <c r="AT168" s="141"/>
    </row>
    <row r="169" spans="1:50" ht="18.5" x14ac:dyDescent="0.45">
      <c r="A169" s="7"/>
      <c r="B169" s="73" t="s">
        <v>159</v>
      </c>
      <c r="C169" s="142">
        <v>1672</v>
      </c>
      <c r="D169" s="7" t="s">
        <v>230</v>
      </c>
    </row>
    <row r="170" spans="1:50" ht="18.5" x14ac:dyDescent="0.45">
      <c r="A170" s="7"/>
      <c r="B170" s="74" t="s">
        <v>231</v>
      </c>
      <c r="C170" s="142">
        <v>300</v>
      </c>
      <c r="D170" s="7" t="s">
        <v>232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Nowocin</dc:creator>
  <cp:keywords/>
  <dc:description/>
  <cp:lastModifiedBy>Katarzyna Ochnik</cp:lastModifiedBy>
  <cp:revision/>
  <dcterms:created xsi:type="dcterms:W3CDTF">2025-10-09T20:23:19Z</dcterms:created>
  <dcterms:modified xsi:type="dcterms:W3CDTF">2025-10-23T07:49:19Z</dcterms:modified>
  <cp:category/>
  <cp:contentStatus/>
</cp:coreProperties>
</file>