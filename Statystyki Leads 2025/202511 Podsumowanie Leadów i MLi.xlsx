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25780" windowHeight="13770" tabRatio="600" firstSheet="0" activeTab="3" autoFilterDateGrouping="1"/>
  </bookViews>
  <sheets>
    <sheet xmlns:r="http://schemas.openxmlformats.org/officeDocument/2006/relationships" name="Szczegóły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MLe+ Leady" sheetId="3" state="visible" r:id="rId3"/>
    <sheet xmlns:r="http://schemas.openxmlformats.org/officeDocument/2006/relationships" name="MLe" sheetId="4" state="visible" r:id="rId4"/>
  </sheets>
  <definedNames/>
  <calcPr calcId="191029" fullCalcOnLoad="1"/>
  <pivotCaches>
    <pivotCache xmlns:r="http://schemas.openxmlformats.org/officeDocument/2006/relationships" cacheId="0" r:id="rId5"/>
  </pivotCaches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indexed="8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0" borderId="2" pivotButton="0" quotePrefix="0" xfId="0"/>
    <xf numFmtId="0" fontId="2" fillId="0" borderId="0" applyAlignment="1" pivotButton="0" quotePrefix="0" xfId="0">
      <alignment horizontal="left"/>
    </xf>
    <xf numFmtId="0" fontId="2" fillId="2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2" fillId="2" borderId="3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 indent="1"/>
    </xf>
    <xf numFmtId="0" fontId="1" fillId="0" borderId="2" pivotButton="0" quotePrefix="0" xfId="0"/>
    <xf numFmtId="0" fontId="3" fillId="0" borderId="0" pivotButton="0" quotePrefix="0" xfId="0"/>
  </cellXfs>
  <cellStyles count="1">
    <cellStyle name="Normalny" xfId="0" builtinId="0"/>
  </cellStyles>
  <dxfs count="18">
    <dxf>
      <font/>
      <numFmt numFmtId="0" formatCode="General"/>
    </dxf>
    <dxf>
      <font/>
      <numFmt numFmtId="0" formatCode="General"/>
    </dxf>
    <dxf>
      <font/>
      <numFmt numFmtId="0" formatCode="General"/>
    </dxf>
    <dxf>
      <font/>
      <numFmt numFmtId="0" formatCode="General"/>
    </dxf>
    <dxf>
      <font/>
      <numFmt numFmtId="0" formatCode="General"/>
    </dxf>
    <dxf>
      <font/>
      <numFmt numFmtId="0" formatCode="General"/>
    </dxf>
    <dxf>
      <font/>
      <numFmt numFmtId="0" formatCode="General"/>
    </dxf>
    <dxf>
      <font/>
      <numFmt numFmtId="0" formatCode="General"/>
    </dxf>
    <dxf>
      <font/>
      <numFmt numFmtId="0" formatCode="General"/>
    </dxf>
    <dxf>
      <font/>
      <numFmt numFmtId="0" formatCode="General"/>
    </dxf>
    <dxf>
      <font/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font/>
    </dxf>
    <dxf>
      <border outline="0">
        <bottom style="thin">
          <color rgb="FF44B3E1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Katarzyna Ochnik" refreshedDate="45970.64899282408" createdVersion="8" refreshedVersion="8" minRefreshableVersion="3" recordCount="60" r:id="rId1">
  <cacheSource type="worksheet">
    <worksheetSource name="Table2456"/>
  </cacheSource>
  <cacheFields count="15">
    <cacheField name="I tier" uniqueList="1" numFmtId="0" sqlType="0" hierarchy="0" level="0" databaseField="1">
      <sharedItems count="2">
        <s v="Inbound"/>
        <s v="Outbound"/>
      </sharedItems>
    </cacheField>
    <cacheField name="II tier" uniqueList="1" numFmtId="0" sqlType="0" hierarchy="0" level="0" databaseField="1">
      <sharedItems count="16">
        <s v="Webinary medidesk"/>
        <s v="Webinar"/>
        <s v="Konferencja zewnętrzna"/>
        <s v="Strona internetowa medidesk"/>
        <s v="Partner polecający"/>
        <s v="Facebook"/>
        <s v="Facebook po pobraniu"/>
        <s v="LinkedIn"/>
        <s v="Polecenie"/>
        <s v="Reinkarnacja"/>
        <s v="Telefon na biuro"/>
        <s v="Firma polecająca"/>
        <s v="Pracownik polecający"/>
        <s v="Scrapper"/>
        <s v="Akwizycja telefoniczna"/>
        <s v="Akwizycja telefoniczna po webinarze"/>
      </sharedItems>
    </cacheField>
    <cacheField name="III tier" uniqueList="1" numFmtId="0" sqlType="0" hierarchy="0" level="0" databaseField="1">
      <sharedItems count="0" containsBlank="1"/>
    </cacheField>
    <cacheField name="Uwagi" uniqueList="1" numFmtId="0" sqlType="0" hierarchy="0" level="0" databaseField="1">
      <sharedItems count="0" containsBlank="1"/>
    </cacheField>
    <cacheField name="Styczeń" uniqueList="1" numFmtId="0" sqlType="0" hierarchy="0" level="0" databaseField="1">
      <sharedItems count="5" containsBlank="1" containsInteger="1" containsNumber="1" containsString="0" minValue="1" maxValue="164">
        <m/>
        <n v="9"/>
        <n v="7"/>
        <n v="1"/>
        <n v="164"/>
      </sharedItems>
    </cacheField>
    <cacheField name="Luty" uniqueList="1" numFmtId="0" sqlType="0" hierarchy="0" level="0" databaseField="1">
      <sharedItems count="8" containsBlank="1" containsInteger="1" containsNumber="1" containsString="0" minValue="1" maxValue="177">
        <n v="5"/>
        <n v="1"/>
        <m/>
        <n v="14"/>
        <n v="2"/>
        <n v="6"/>
        <n v="4"/>
        <n v="177"/>
      </sharedItems>
    </cacheField>
    <cacheField name="Marzec" uniqueList="1" numFmtId="0" sqlType="0" hierarchy="0" level="0" databaseField="1">
      <sharedItems count="7" containsBlank="1" containsInteger="1" containsNumber="1" containsString="0" minValue="1" maxValue="150">
        <m/>
        <n v="3"/>
        <n v="4"/>
        <n v="1"/>
        <n v="2"/>
        <n v="7"/>
        <n v="150"/>
      </sharedItems>
    </cacheField>
    <cacheField name="Kwiecień" uniqueList="1" numFmtId="0" sqlType="0" hierarchy="0" level="0" databaseField="1">
      <sharedItems count="11" containsBlank="1" containsInteger="1" containsNumber="1" containsString="0" minValue="1" maxValue="436">
        <m/>
        <n v="4"/>
        <n v="26"/>
        <n v="12"/>
        <n v="1"/>
        <n v="3"/>
        <n v="2"/>
        <n v="38"/>
        <n v="32"/>
        <n v="5"/>
        <n v="436"/>
      </sharedItems>
    </cacheField>
    <cacheField name="Maj" uniqueList="1" numFmtId="0" sqlType="0" hierarchy="0" level="0" databaseField="1">
      <sharedItems count="0" containsBlank="1" containsInteger="1" containsNumber="1" containsString="0" minValue="1" maxValue="345"/>
    </cacheField>
    <cacheField name="Czerwiec" uniqueList="1" numFmtId="0" sqlType="0" hierarchy="0" level="0" databaseField="1">
      <sharedItems count="0" containsBlank="1" containsInteger="1" containsNumber="1" containsString="0" minValue="1" maxValue="83"/>
    </cacheField>
    <cacheField name="Lipiec" uniqueList="1" numFmtId="0" sqlType="0" hierarchy="0" level="0" databaseField="1">
      <sharedItems count="0" containsBlank="1" containsInteger="1" containsNumber="1" containsString="0" minValue="1" maxValue="124"/>
    </cacheField>
    <cacheField name="Sierpień" uniqueList="1" numFmtId="0" sqlType="0" hierarchy="0" level="0" databaseField="1">
      <sharedItems count="0" containsBlank="1" containsInteger="1" containsNumber="1" containsString="0" minValue="1" maxValue="76"/>
    </cacheField>
    <cacheField name="Wrzesień" uniqueList="1" numFmtId="0" sqlType="0" hierarchy="0" level="0" databaseField="1">
      <sharedItems count="0" containsBlank="1" containsInteger="1" containsNumber="1" containsString="0" minValue="1" maxValue="125"/>
    </cacheField>
    <cacheField name="Październik" uniqueList="1" numFmtId="0" sqlType="0" hierarchy="0" level="0" databaseField="1">
      <sharedItems count="0" containsBlank="1" containsInteger="1" containsNumber="1" containsString="0" minValue="1" maxValue="355"/>
    </cacheField>
    <cacheField name="Listopad" uniqueList="1" numFmtId="0" sqlType="0" hierarchy="0" level="0" databaseField="1">
      <sharedItems count="0" containsBlank="1" containsInteger="1" containsNumber="1" containsString="0" minValue="1" maxValue="27"/>
    </cacheField>
  </cacheFields>
</pivotCacheDefinition>
</file>

<file path=xl/pivotCache/pivotCacheRecords1.xml><?xml version="1.0" encoding="utf-8"?>
<pivotCacheRecords xmlns="http://schemas.openxmlformats.org/spreadsheetml/2006/main" count="60">
  <r>
    <x v="0"/>
    <x v="0"/>
    <s v="20250219 - AI w służbie zdrowia"/>
    <s v="Wszelkie Leady (włączając MLe po konwersji na Leada)"/>
    <x v="0"/>
    <x v="0"/>
    <x v="0"/>
    <x v="0"/>
    <m/>
    <m/>
    <m/>
    <m/>
    <m/>
    <m/>
    <m/>
  </r>
  <r>
    <x v="0"/>
    <x v="1"/>
    <s v="20250219 - AI w służbie zdrowia"/>
    <s v="MLe bez konwersji na leada"/>
    <x v="0"/>
    <x v="1"/>
    <x v="0"/>
    <x v="0"/>
    <m/>
    <m/>
    <m/>
    <m/>
    <m/>
    <m/>
    <m/>
  </r>
  <r>
    <x v="0"/>
    <x v="0"/>
    <s v="20250319 - Jak rozwijać placówkę"/>
    <s v="Wszelkie Leady (włączając MLe po konwersji na Leada)"/>
    <x v="0"/>
    <x v="2"/>
    <x v="1"/>
    <x v="1"/>
    <m/>
    <m/>
    <m/>
    <m/>
    <m/>
    <m/>
    <m/>
  </r>
  <r>
    <x v="0"/>
    <x v="0"/>
    <s v="20250409 - Webinar Marafiki"/>
    <s v="Wszelkie Leady (włączając MLe po konwersji na Leada)"/>
    <x v="0"/>
    <x v="2"/>
    <x v="2"/>
    <x v="1"/>
    <m/>
    <n v="1"/>
    <m/>
    <m/>
    <m/>
    <m/>
    <m/>
  </r>
  <r>
    <x v="0"/>
    <x v="0"/>
    <s v="20250604 - Pozycjonowanie i social media"/>
    <s v="Wszelkie Leady (włączając MLe po konwersji na Leada)"/>
    <x v="0"/>
    <x v="2"/>
    <x v="0"/>
    <x v="0"/>
    <m/>
    <n v="1"/>
    <m/>
    <m/>
    <m/>
    <m/>
    <m/>
  </r>
  <r>
    <x v="0"/>
    <x v="0"/>
    <s v="20250612 - Chirurgiczny lejek online"/>
    <s v="Wszelkie Leady (włączając MLe po konwersji na Leada)"/>
    <x v="0"/>
    <x v="2"/>
    <x v="3"/>
    <x v="0"/>
    <m/>
    <m/>
    <m/>
    <m/>
    <m/>
    <m/>
    <m/>
  </r>
  <r>
    <x v="0"/>
    <x v="1"/>
    <s v="20250612 - Chirurgiczny lejek online"/>
    <s v="MLe bez konwersji na leada"/>
    <x v="0"/>
    <x v="2"/>
    <x v="0"/>
    <x v="0"/>
    <m/>
    <n v="3"/>
    <m/>
    <m/>
    <m/>
    <m/>
    <m/>
  </r>
  <r>
    <x v="0"/>
    <x v="0"/>
    <s v="20250625 - Komunikacja z pokoleniem Z"/>
    <s v="Wszelkie Leady (włączając MLe po konwersji na Leada)"/>
    <x v="0"/>
    <x v="2"/>
    <x v="0"/>
    <x v="0"/>
    <m/>
    <m/>
    <n v="1"/>
    <m/>
    <m/>
    <m/>
    <m/>
  </r>
  <r>
    <x v="0"/>
    <x v="0"/>
    <s v="20250708 - Komunikacja z wymagającym pacjentem"/>
    <s v="Wszelkie Leady (włączając MLe po konwersji na Leada)"/>
    <x v="0"/>
    <x v="2"/>
    <x v="0"/>
    <x v="0"/>
    <m/>
    <m/>
    <n v="1"/>
    <m/>
    <m/>
    <m/>
    <m/>
  </r>
  <r>
    <x v="0"/>
    <x v="2"/>
    <s v="202510 Dolmed"/>
    <s v="Wszelkie Leady (włączając MLe po konwersji na Leada)"/>
    <x v="0"/>
    <x v="2"/>
    <x v="0"/>
    <x v="0"/>
    <m/>
    <m/>
    <m/>
    <m/>
    <m/>
    <n v="1"/>
    <m/>
  </r>
  <r>
    <x v="0"/>
    <x v="3"/>
    <s v="Audyt Marketingowy 202503"/>
    <s v="Wszelkie Leady (włączając MLe po konwersji na Leada)"/>
    <x v="0"/>
    <x v="2"/>
    <x v="0"/>
    <x v="2"/>
    <n v="6"/>
    <n v="4"/>
    <m/>
    <m/>
    <n v="1"/>
    <m/>
    <m/>
  </r>
  <r>
    <x v="0"/>
    <x v="3"/>
    <s v="Audyt Marketingowy 202503"/>
    <s v="MLe bez konwersji na leada"/>
    <x v="0"/>
    <x v="2"/>
    <x v="4"/>
    <x v="3"/>
    <n v="6"/>
    <n v="2"/>
    <n v="1"/>
    <m/>
    <m/>
    <m/>
    <m/>
  </r>
  <r>
    <x v="0"/>
    <x v="3"/>
    <s v="Audyt Tajemniczego Pacjenta 202503"/>
    <s v="Wszelkie Leady (włączając MLe po konwersji na Leada)"/>
    <x v="0"/>
    <x v="2"/>
    <x v="0"/>
    <x v="4"/>
    <n v="1"/>
    <m/>
    <m/>
    <n v="1"/>
    <n v="1"/>
    <m/>
    <m/>
  </r>
  <r>
    <x v="0"/>
    <x v="3"/>
    <s v="Audyt Tajemniczego Pacjenta 202503"/>
    <s v="MLe bez konwersji na leada"/>
    <x v="0"/>
    <x v="2"/>
    <x v="0"/>
    <x v="5"/>
    <n v="2"/>
    <n v="1"/>
    <n v="2"/>
    <m/>
    <m/>
    <m/>
    <m/>
  </r>
  <r>
    <x v="0"/>
    <x v="4"/>
    <s v="BIZNES BUTIK SPÓŁKA Z OGRANICZONĄ ODPOWIEDZIALNOŚCIĄ"/>
    <s v="Wszelkie Leady (włączając MLe po konwersji na Leada)"/>
    <x v="0"/>
    <x v="2"/>
    <x v="0"/>
    <x v="0"/>
    <m/>
    <m/>
    <n v="4"/>
    <m/>
    <n v="2"/>
    <n v="355"/>
    <m/>
  </r>
  <r>
    <x v="1"/>
    <x v="5"/>
    <s v="brak danych"/>
    <s v="Wszelkie Leady (włączając MLe po konwersji na Leada)"/>
    <x v="0"/>
    <x v="2"/>
    <x v="0"/>
    <x v="0"/>
    <m/>
    <n v="1"/>
    <m/>
    <m/>
    <m/>
    <m/>
    <m/>
  </r>
  <r>
    <x v="1"/>
    <x v="6"/>
    <s v="brak danych"/>
    <s v="Wszelkie Leady (włączając MLe po konwersji na Leada)"/>
    <x v="0"/>
    <x v="2"/>
    <x v="0"/>
    <x v="0"/>
    <n v="3"/>
    <n v="1"/>
    <m/>
    <m/>
    <m/>
    <m/>
    <m/>
  </r>
  <r>
    <x v="0"/>
    <x v="7"/>
    <s v="brak danych"/>
    <s v="Wszelkie Leady (włączając MLe po konwersji na Leada)"/>
    <x v="0"/>
    <x v="2"/>
    <x v="0"/>
    <x v="6"/>
    <m/>
    <m/>
    <m/>
    <m/>
    <m/>
    <m/>
    <m/>
  </r>
  <r>
    <x v="0"/>
    <x v="8"/>
    <s v="brak danych"/>
    <s v="Wszelkie Leady (włączając MLe po konwersji na Leada)"/>
    <x v="1"/>
    <x v="2"/>
    <x v="3"/>
    <x v="0"/>
    <m/>
    <m/>
    <m/>
    <m/>
    <m/>
    <m/>
    <m/>
  </r>
  <r>
    <x v="1"/>
    <x v="9"/>
    <s v="brak danych"/>
    <s v="Wszelkie Leady (włączając MLe po konwersji na Leada)"/>
    <x v="2"/>
    <x v="3"/>
    <x v="4"/>
    <x v="5"/>
    <n v="3"/>
    <n v="3"/>
    <n v="3"/>
    <m/>
    <m/>
    <m/>
    <m/>
  </r>
  <r>
    <x v="0"/>
    <x v="3"/>
    <s v="brak danych"/>
    <s v="Wszelkie Leady (włączając MLe po konwersji na Leada)"/>
    <x v="1"/>
    <x v="2"/>
    <x v="0"/>
    <x v="6"/>
    <m/>
    <m/>
    <m/>
    <m/>
    <m/>
    <n v="1"/>
    <m/>
  </r>
  <r>
    <x v="0"/>
    <x v="10"/>
    <s v="brak danych"/>
    <s v="Wszelkie Leady (włączając MLe po konwersji na Leada)"/>
    <x v="3"/>
    <x v="2"/>
    <x v="4"/>
    <x v="0"/>
    <m/>
    <n v="1"/>
    <m/>
    <m/>
    <n v="1"/>
    <n v="1"/>
    <n v="1"/>
  </r>
  <r>
    <x v="0"/>
    <x v="1"/>
    <s v="brak danych"/>
    <s v="Wszelkie Leady (włączając MLe po konwersji na Leada)"/>
    <x v="0"/>
    <x v="2"/>
    <x v="4"/>
    <x v="6"/>
    <m/>
    <m/>
    <m/>
    <m/>
    <m/>
    <m/>
    <m/>
  </r>
  <r>
    <x v="0"/>
    <x v="11"/>
    <s v="brak danych"/>
    <s v="Wszelkie Leady (włączając MLe po konwersji na Leada)"/>
    <x v="3"/>
    <x v="2"/>
    <x v="0"/>
    <x v="6"/>
    <n v="2"/>
    <n v="1"/>
    <n v="2"/>
    <m/>
    <n v="2"/>
    <m/>
    <n v="1"/>
  </r>
  <r>
    <x v="0"/>
    <x v="11"/>
    <s v="CLINICLAB SPECJALISTYCZNE BADANIA LABORATORYJNE SPÓŁKA AKCYJNA"/>
    <s v="Wszelkie Leady (włączając MLe po konwersji na Leada)"/>
    <x v="0"/>
    <x v="2"/>
    <x v="0"/>
    <x v="0"/>
    <m/>
    <m/>
    <m/>
    <m/>
    <m/>
    <m/>
    <m/>
  </r>
  <r>
    <x v="0"/>
    <x v="4"/>
    <s v="CLINICLAB SPECJALISTYCZNE BADANIA LABORATORYJNE SPÓŁKA AKCYJNA"/>
    <s v="Wszelkie Leady (włączając MLe po konwersji na Leada)"/>
    <x v="0"/>
    <x v="2"/>
    <x v="0"/>
    <x v="5"/>
    <m/>
    <m/>
    <m/>
    <m/>
    <m/>
    <m/>
    <m/>
  </r>
  <r>
    <x v="0"/>
    <x v="4"/>
    <s v="COMPERIA.PL SPÓŁKA AKCYJNA"/>
    <s v="Wszelkie Leady (włączając MLe po konwersji na Leada)"/>
    <x v="0"/>
    <x v="2"/>
    <x v="3"/>
    <x v="4"/>
    <m/>
    <n v="2"/>
    <n v="1"/>
    <m/>
    <m/>
    <m/>
    <m/>
  </r>
  <r>
    <x v="0"/>
    <x v="11"/>
    <s v="DENTAL FRATERNITY INVEST SPÓŁKA Z OGRANICZONĄ ODPOWIEDZIALNOŚCIĄ"/>
    <s v="Wszelkie Leady (włączając MLe po konwersji na Leada)"/>
    <x v="0"/>
    <x v="1"/>
    <x v="0"/>
    <x v="0"/>
    <m/>
    <m/>
    <m/>
    <m/>
    <m/>
    <m/>
    <m/>
  </r>
  <r>
    <x v="0"/>
    <x v="5"/>
    <s v="EBook Trudny Pacjent"/>
    <s v="Wszelkie Leady (włączając MLe po konwersji na Leada)"/>
    <x v="0"/>
    <x v="2"/>
    <x v="0"/>
    <x v="7"/>
    <n v="10"/>
    <n v="1"/>
    <n v="12"/>
    <n v="76"/>
    <n v="40"/>
    <m/>
    <m/>
  </r>
  <r>
    <x v="0"/>
    <x v="5"/>
    <s v="EBook Trudny Pacjent"/>
    <s v="MLe bez konwersji na leada"/>
    <x v="0"/>
    <x v="2"/>
    <x v="0"/>
    <x v="8"/>
    <n v="128"/>
    <n v="66"/>
    <n v="117"/>
    <n v="8"/>
    <m/>
    <m/>
    <m/>
  </r>
  <r>
    <x v="0"/>
    <x v="5"/>
    <s v="EBook Trudny Pacjent"/>
    <s v="MLe bez konwersji na leada"/>
    <x v="0"/>
    <x v="2"/>
    <x v="0"/>
    <x v="0"/>
    <m/>
    <m/>
    <m/>
    <m/>
    <m/>
    <m/>
    <m/>
  </r>
  <r>
    <x v="0"/>
    <x v="5"/>
    <s v="EBook Zmiany w prawie marketingu medycznego"/>
    <s v="Wszelkie Leady (włączając MLe po konwersji na Leada)"/>
    <x v="0"/>
    <x v="2"/>
    <x v="0"/>
    <x v="0"/>
    <n v="7"/>
    <n v="3"/>
    <n v="3"/>
    <n v="36"/>
    <n v="66"/>
    <n v="35"/>
    <m/>
  </r>
  <r>
    <x v="0"/>
    <x v="5"/>
    <s v="EBook Zmiany w prawie marketingu medycznego"/>
    <s v="MLe bez konwersji na leada"/>
    <x v="0"/>
    <x v="2"/>
    <x v="0"/>
    <x v="0"/>
    <n v="41"/>
    <n v="83"/>
    <n v="124"/>
    <n v="10"/>
    <n v="11"/>
    <n v="30"/>
    <n v="27"/>
  </r>
  <r>
    <x v="0"/>
    <x v="5"/>
    <s v="EBook Zyskowna przychodnia - redukcja kosztów"/>
    <s v="Wszelkie Leady (włączając MLe po konwersji na Leada)"/>
    <x v="0"/>
    <x v="2"/>
    <x v="0"/>
    <x v="0"/>
    <m/>
    <m/>
    <m/>
    <m/>
    <n v="16"/>
    <n v="9"/>
    <m/>
  </r>
  <r>
    <x v="0"/>
    <x v="5"/>
    <s v="EBook Zyskowna przychodnia - redukcja kosztów"/>
    <s v="MLe bez konwersji na leada"/>
    <x v="0"/>
    <x v="2"/>
    <x v="0"/>
    <x v="0"/>
    <m/>
    <m/>
    <m/>
    <m/>
    <n v="4"/>
    <n v="6"/>
    <n v="8"/>
  </r>
  <r>
    <x v="0"/>
    <x v="3"/>
    <s v="Email biuro"/>
    <s v="Wszelkie Leady (włączając MLe po konwersji na Leada)"/>
    <x v="0"/>
    <x v="1"/>
    <x v="3"/>
    <x v="0"/>
    <m/>
    <m/>
    <m/>
    <m/>
    <m/>
    <m/>
    <m/>
  </r>
  <r>
    <x v="0"/>
    <x v="3"/>
    <s v="FB"/>
    <s v="Wszelkie Leady (włączając MLe po konwersji na Leada)"/>
    <x v="0"/>
    <x v="2"/>
    <x v="3"/>
    <x v="4"/>
    <m/>
    <m/>
    <m/>
    <m/>
    <m/>
    <m/>
    <m/>
  </r>
  <r>
    <x v="0"/>
    <x v="4"/>
    <s v="INSTYTUT DENTALWAY KAMIL KUCZEWSKI"/>
    <s v="Wszelkie Leady (włączając MLe po konwersji na Leada)"/>
    <x v="0"/>
    <x v="2"/>
    <x v="3"/>
    <x v="0"/>
    <m/>
    <m/>
    <m/>
    <m/>
    <m/>
    <m/>
    <m/>
  </r>
  <r>
    <x v="0"/>
    <x v="3"/>
    <s v="Integracja z Medfile"/>
    <s v="MLe bez konwersji na leada"/>
    <x v="0"/>
    <x v="2"/>
    <x v="0"/>
    <x v="0"/>
    <m/>
    <m/>
    <m/>
    <m/>
    <m/>
    <n v="6"/>
    <m/>
  </r>
  <r>
    <x v="0"/>
    <x v="12"/>
    <s v="Marek Wcisło"/>
    <s v="Wszelkie Leady (włączając MLe po konwersji na Leada)"/>
    <x v="0"/>
    <x v="2"/>
    <x v="0"/>
    <x v="0"/>
    <m/>
    <m/>
    <n v="1"/>
    <m/>
    <m/>
    <m/>
    <m/>
  </r>
  <r>
    <x v="0"/>
    <x v="3"/>
    <s v="Meddiesk 3.0"/>
    <s v="Wszelkie Leady (włączając MLe po konwersji na Leada)"/>
    <x v="0"/>
    <x v="2"/>
    <x v="0"/>
    <x v="0"/>
    <m/>
    <n v="1"/>
    <n v="1"/>
    <n v="2"/>
    <m/>
    <n v="1"/>
    <m/>
  </r>
  <r>
    <x v="0"/>
    <x v="3"/>
    <s v="Meddiesk 3.0"/>
    <s v="MLe bez konwersji na leada"/>
    <x v="0"/>
    <x v="2"/>
    <x v="0"/>
    <x v="0"/>
    <m/>
    <n v="2"/>
    <n v="6"/>
    <n v="1"/>
    <n v="1"/>
    <m/>
    <m/>
  </r>
  <r>
    <x v="0"/>
    <x v="4"/>
    <s v="MEDFILE SPÓŁKA Z OGRANICZONĄ ODPOWIEDZIALNOŚCIĄ"/>
    <s v="Wszelkie Leady (włączając MLe po konwersji na Leada)"/>
    <x v="0"/>
    <x v="2"/>
    <x v="0"/>
    <x v="0"/>
    <m/>
    <m/>
    <m/>
    <m/>
    <m/>
    <m/>
    <n v="1"/>
  </r>
  <r>
    <x v="0"/>
    <x v="3"/>
    <s v="Medidesk EDU audyty"/>
    <s v="Wszelkie Leady (włączając MLe po konwersji na Leada)"/>
    <x v="0"/>
    <x v="4"/>
    <x v="0"/>
    <x v="0"/>
    <m/>
    <m/>
    <m/>
    <m/>
    <m/>
    <m/>
    <m/>
  </r>
  <r>
    <x v="0"/>
    <x v="3"/>
    <s v="Medidesk EDU szkolenia"/>
    <s v="MLe bez konwersji na leada"/>
    <x v="0"/>
    <x v="2"/>
    <x v="0"/>
    <x v="0"/>
    <m/>
    <m/>
    <m/>
    <m/>
    <m/>
    <m/>
    <m/>
  </r>
  <r>
    <x v="0"/>
    <x v="3"/>
    <s v="Medidesk Kontakt EN"/>
    <s v="Wszelkie Leady (włączając MLe po konwersji na Leada)"/>
    <x v="0"/>
    <x v="2"/>
    <x v="0"/>
    <x v="0"/>
    <n v="1"/>
    <m/>
    <m/>
    <m/>
    <m/>
    <m/>
    <m/>
  </r>
  <r>
    <x v="0"/>
    <x v="3"/>
    <s v="Medidesk Kontakt EN"/>
    <s v="MLe bez konwersji na leada"/>
    <x v="0"/>
    <x v="2"/>
    <x v="0"/>
    <x v="0"/>
    <m/>
    <m/>
    <m/>
    <m/>
    <m/>
    <m/>
    <m/>
  </r>
  <r>
    <x v="0"/>
    <x v="3"/>
    <s v="Medidesk Kontakt PL"/>
    <s v="Wszelkie Leady (włączając MLe po konwersji na Leada)"/>
    <x v="0"/>
    <x v="2"/>
    <x v="3"/>
    <x v="0"/>
    <n v="2"/>
    <n v="1"/>
    <n v="1"/>
    <n v="1"/>
    <n v="2"/>
    <m/>
    <n v="1"/>
  </r>
  <r>
    <x v="0"/>
    <x v="3"/>
    <s v="Medidesk Kontakt PL"/>
    <s v="MLe bez konwersji na leada"/>
    <x v="3"/>
    <x v="5"/>
    <x v="5"/>
    <x v="5"/>
    <n v="2"/>
    <n v="4"/>
    <n v="9"/>
    <n v="8"/>
    <n v="7"/>
    <n v="6"/>
    <n v="1"/>
  </r>
  <r>
    <x v="0"/>
    <x v="12"/>
    <s v="Michał Modzelewski"/>
    <s v="Wszelkie Leady (włączając MLe po konwersji na Leada)"/>
    <x v="3"/>
    <x v="2"/>
    <x v="0"/>
    <x v="0"/>
    <m/>
    <m/>
    <m/>
    <m/>
    <m/>
    <m/>
    <m/>
  </r>
  <r>
    <x v="0"/>
    <x v="8"/>
    <s v="Polecenie Partnera"/>
    <s v="MLe bez konwersji na leada"/>
    <x v="0"/>
    <x v="2"/>
    <x v="0"/>
    <x v="0"/>
    <m/>
    <n v="1"/>
    <m/>
    <n v="1"/>
    <n v="125"/>
    <n v="270"/>
    <m/>
  </r>
  <r>
    <x v="1"/>
    <x v="13"/>
    <s v="Scrapper"/>
    <s v="MLe bez konwersji na leada"/>
    <x v="0"/>
    <x v="2"/>
    <x v="0"/>
    <x v="0"/>
    <m/>
    <n v="5"/>
    <m/>
    <m/>
    <m/>
    <m/>
    <m/>
  </r>
  <r>
    <x v="0"/>
    <x v="3"/>
    <s v="SMS Campaign"/>
    <s v="MLe bez konwersji na leada"/>
    <x v="0"/>
    <x v="2"/>
    <x v="0"/>
    <x v="0"/>
    <m/>
    <m/>
    <m/>
    <m/>
    <m/>
    <m/>
    <n v="1"/>
  </r>
  <r>
    <x v="0"/>
    <x v="3"/>
    <s v="Umów spotkanie"/>
    <s v="Wszelkie Leady (włączając MLe po konwersji na Leada)"/>
    <x v="0"/>
    <x v="6"/>
    <x v="4"/>
    <x v="9"/>
    <n v="1"/>
    <n v="3"/>
    <n v="4"/>
    <n v="4"/>
    <n v="5"/>
    <n v="3"/>
    <n v="5"/>
  </r>
  <r>
    <x v="0"/>
    <x v="3"/>
    <s v="Umów spotkanie"/>
    <s v="MLe bez konwersji na leada"/>
    <x v="0"/>
    <x v="2"/>
    <x v="4"/>
    <x v="6"/>
    <n v="1"/>
    <n v="1"/>
    <n v="4"/>
    <n v="3"/>
    <n v="2"/>
    <n v="2"/>
    <n v="1"/>
  </r>
  <r>
    <x v="0"/>
    <x v="5"/>
    <s v="Umów spotkanie FB"/>
    <s v="Wszelkie Leady (włączając MLe po konwersji na Leada)"/>
    <x v="0"/>
    <x v="2"/>
    <x v="0"/>
    <x v="0"/>
    <m/>
    <m/>
    <n v="1"/>
    <n v="8"/>
    <n v="4"/>
    <n v="6"/>
    <m/>
  </r>
  <r>
    <x v="0"/>
    <x v="5"/>
    <s v="Umów spotkanie FB"/>
    <s v="MLe bez konwersji na leada"/>
    <x v="0"/>
    <x v="2"/>
    <x v="0"/>
    <x v="0"/>
    <m/>
    <m/>
    <n v="6"/>
    <n v="1"/>
    <n v="2"/>
    <n v="3"/>
    <n v="2"/>
  </r>
  <r>
    <x v="0"/>
    <x v="3"/>
    <s v="Webinar Marafiki 20250409"/>
    <s v="MLe bez konwersji na leada"/>
    <x v="0"/>
    <x v="2"/>
    <x v="3"/>
    <x v="0"/>
    <m/>
    <m/>
    <m/>
    <m/>
    <m/>
    <m/>
    <m/>
  </r>
  <r>
    <x v="1"/>
    <x v="14"/>
    <m/>
    <s v="Wszelkie Leady (włączając MLe po konwersji na Leada)"/>
    <x v="4"/>
    <x v="7"/>
    <x v="6"/>
    <x v="10"/>
    <n v="345"/>
    <n v="79"/>
    <n v="29"/>
    <n v="5"/>
    <n v="21"/>
    <n v="19"/>
    <n v="4"/>
  </r>
  <r>
    <x v="1"/>
    <x v="15"/>
    <m/>
    <m/>
    <x v="0"/>
    <x v="2"/>
    <x v="0"/>
    <x v="0"/>
    <m/>
    <n v="2"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K23" firstHeaderRow="0" firstDataRow="1" firstDataCol="1"/>
  <pivotFields count="15"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7">
        <item t="data" sd="1" x="14"/>
        <item t="data" sd="1" x="15"/>
        <item t="data" sd="1" x="5"/>
        <item t="data" sd="1" x="6"/>
        <item t="data" sd="1" x="11"/>
        <item t="data" sd="1" x="2"/>
        <item t="data" sd="1" x="7"/>
        <item t="data" sd="1" x="4"/>
        <item t="data" sd="1" x="8"/>
        <item t="data" sd="1" x="12"/>
        <item t="data" sd="1" x="9"/>
        <item t="data" sd="1" x="13"/>
        <item t="data" sd="1" x="3"/>
        <item t="data" sd="1" x="10"/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3"/>
        <item t="data" sd="1" x="2"/>
        <item t="data" sd="1" x="1"/>
        <item t="data" sd="1" x="4"/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9">
        <item t="data" sd="1" x="1"/>
        <item t="data" sd="1" x="4"/>
        <item t="data" sd="1" x="6"/>
        <item t="data" sd="1" x="0"/>
        <item t="data" sd="1" x="5"/>
        <item t="data" sd="1" x="3"/>
        <item t="data" sd="1" x="7"/>
        <item t="data" sd="1" x="2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8">
        <item t="data" sd="1" x="3"/>
        <item t="data" sd="1" x="4"/>
        <item t="data" sd="1" x="1"/>
        <item t="data" sd="1" x="2"/>
        <item t="data" sd="1" x="5"/>
        <item t="data" sd="1" x="6"/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12">
        <item t="data" sd="1" x="4"/>
        <item t="data" sd="1" x="6"/>
        <item t="data" sd="1" x="5"/>
        <item t="data" sd="1" x="1"/>
        <item t="data" sd="1" x="9"/>
        <item t="data" sd="1" x="3"/>
        <item t="data" sd="1" x="2"/>
        <item t="data" sd="1" x="8"/>
        <item t="data" sd="1" x="7"/>
        <item t="data" sd="1" x="10"/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0"/>
    <field x="1"/>
  </rowFields>
  <rowItems count="20">
    <i t="data" r="0" i="0">
      <x v="0"/>
    </i>
    <i t="data" r="1" i="0">
      <x v="2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2"/>
    </i>
    <i t="data" r="1" i="0">
      <x v="13"/>
    </i>
    <i t="data" r="1" i="0">
      <x v="14"/>
    </i>
    <i t="data" r="1" i="0">
      <x v="15"/>
    </i>
    <i t="data" r="0" i="0">
      <x v="1"/>
    </i>
    <i t="data" r="1" i="0">
      <x v="0"/>
    </i>
    <i t="data" r="1" i="0">
      <x v="1"/>
    </i>
    <i t="data" r="1" i="0">
      <x v="2"/>
    </i>
    <i t="data" r="1" i="0">
      <x v="3"/>
    </i>
    <i t="data" r="1" i="0">
      <x v="10"/>
    </i>
    <i t="data" r="1" i="0">
      <x v="11"/>
    </i>
    <i t="grand" r="0" i="0">
      <x v="0"/>
    </i>
  </rowItems>
  <colFields count="1">
    <field x="-2"/>
  </colFields>
  <colItems count="10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  <i t="data" r="0" i="8">
      <x v="8"/>
    </i>
    <i t="data" r="0" i="9">
      <x v="9"/>
    </i>
  </colItems>
  <dataFields count="10">
    <dataField name="Sum of Styczeń" fld="4" subtotal="sum" showDataAs="normal" baseField="0" baseItem="0"/>
    <dataField name="Sum of Luty" fld="5" subtotal="sum" showDataAs="normal" baseField="0" baseItem="0"/>
    <dataField name="Sum of Marzec" fld="6" subtotal="sum" showDataAs="normal" baseField="0" baseItem="0"/>
    <dataField name="Sum of Kwiecień" fld="7" subtotal="sum" showDataAs="normal" baseField="0" baseItem="0"/>
    <dataField name="Sum of Maj" fld="8" subtotal="sum" showDataAs="normal" baseField="0" baseItem="0"/>
    <dataField name="Sum of Czerwiec" fld="9" subtotal="sum" showDataAs="normal" baseField="0" baseItem="0"/>
    <dataField name="Sum of Lipiec" fld="10" subtotal="sum" showDataAs="normal" baseField="0" baseItem="0"/>
    <dataField name="Sum of Sierpień" fld="11" subtotal="sum" showDataAs="normal" baseField="0" baseItem="0"/>
    <dataField name="Sum of Wrzesień" fld="12" subtotal="sum" showDataAs="normal" baseField="0" baseItem="0"/>
    <dataField name="Sum of Październik" fld="13" subtotal="sum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a2" displayName="Tabela2" ref="A3:O4" headerRowCount="1" totalsRowShown="0">
  <autoFilter ref="A3:O4"/>
  <tableColumns count="15">
    <tableColumn id="1" name="I tier"/>
    <tableColumn id="2" name="II tier"/>
    <tableColumn id="3" name="III tier"/>
    <tableColumn id="4" name="Uwagi"/>
    <tableColumn id="5" name="Styczeń"/>
    <tableColumn id="6" name="Luty"/>
    <tableColumn id="7" name="Marzec"/>
    <tableColumn id="8" name="Kwiecień"/>
    <tableColumn id="9" name="Maj"/>
    <tableColumn id="10" name="Czerwiec"/>
    <tableColumn id="11" name="Lipiec"/>
    <tableColumn id="12" name="Sierpień"/>
    <tableColumn id="13" name="Wrzesień"/>
    <tableColumn id="14" name="Październik"/>
    <tableColumn id="15" name="Listop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456" displayName="Table2456" ref="A1:O61" headerRowCount="1" totalsRowShown="0" headerRowDxfId="17" dataDxfId="15" headerRowBorderDxfId="16">
  <autoFilter ref="A1:O61"/>
  <sortState ref="A2:O61">
    <sortCondition ref="C1:C61"/>
  </sortState>
  <tableColumns count="15">
    <tableColumn id="1" name="I tier" dataDxfId="14"/>
    <tableColumn id="2" name="II tier" dataDxfId="13"/>
    <tableColumn id="23" name="III tier" dataDxfId="12"/>
    <tableColumn id="25" name="Uwagi" dataDxfId="11"/>
    <tableColumn id="12" name="Styczeń" dataDxfId="10"/>
    <tableColumn id="13" name="Luty" dataDxfId="9"/>
    <tableColumn id="14" name="Marzec" dataDxfId="8"/>
    <tableColumn id="15" name="Kwiecień" dataDxfId="7"/>
    <tableColumn id="16" name="Maj" dataDxfId="6"/>
    <tableColumn id="17" name="Czerwiec" dataDxfId="5"/>
    <tableColumn id="18" name="Lipiec" dataDxfId="4"/>
    <tableColumn id="19" name="Sierpień" dataDxfId="3"/>
    <tableColumn id="20" name="Wrzesień" dataDxfId="2"/>
    <tableColumn id="21" name="Październik" dataDxfId="1"/>
    <tableColumn id="22" name="Listop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3" sqref="A3:O4"/>
    </sheetView>
  </sheetViews>
  <sheetFormatPr baseColWidth="8" defaultRowHeight="14.5"/>
  <cols>
    <col width="8.81640625" bestFit="1" customWidth="1" min="1" max="1"/>
    <col width="19.08984375" bestFit="1" customWidth="1" min="2" max="2"/>
    <col width="8.81640625" bestFit="1" customWidth="1" min="3" max="3"/>
    <col width="45.1796875" bestFit="1" customWidth="1" min="4" max="4"/>
    <col width="9.6328125" bestFit="1" customWidth="1" min="5" max="5"/>
    <col width="8.81640625" bestFit="1" customWidth="1" min="6" max="6"/>
    <col width="9" bestFit="1" customWidth="1" min="7" max="7"/>
    <col width="10.7265625" bestFit="1" customWidth="1" min="8" max="8"/>
    <col width="8.81640625" bestFit="1" customWidth="1" min="9" max="9"/>
    <col width="10.7265625" bestFit="1" customWidth="1" min="10" max="10"/>
    <col width="8.81640625" bestFit="1" customWidth="1" min="11" max="11"/>
    <col width="10.08984375" bestFit="1" customWidth="1" min="12" max="12"/>
    <col width="10.7265625" bestFit="1" customWidth="1" min="13" max="13"/>
    <col width="12.7265625" bestFit="1" customWidth="1" min="14" max="14"/>
    <col width="10.26953125" bestFit="1" customWidth="1" min="15" max="15"/>
  </cols>
  <sheetData>
    <row r="1">
      <c r="A1" s="18" t="inlineStr">
        <is>
          <t>Szczegóły Sum of Wrzesień — II tier: Akwizycja telefoniczna, I tier: Outbound</t>
        </is>
      </c>
    </row>
    <row r="3">
      <c r="A3" t="inlineStr">
        <is>
          <t>I tier</t>
        </is>
      </c>
      <c r="B3" t="inlineStr">
        <is>
          <t>II tier</t>
        </is>
      </c>
      <c r="C3" t="inlineStr">
        <is>
          <t>III tier</t>
        </is>
      </c>
      <c r="D3" t="inlineStr">
        <is>
          <t>Uwagi</t>
        </is>
      </c>
      <c r="E3" t="inlineStr">
        <is>
          <t>Styczeń</t>
        </is>
      </c>
      <c r="F3" t="inlineStr">
        <is>
          <t>Luty</t>
        </is>
      </c>
      <c r="G3" t="inlineStr">
        <is>
          <t>Marzec</t>
        </is>
      </c>
      <c r="H3" t="inlineStr">
        <is>
          <t>Kwiecień</t>
        </is>
      </c>
      <c r="I3" t="inlineStr">
        <is>
          <t>Maj</t>
        </is>
      </c>
      <c r="J3" t="inlineStr">
        <is>
          <t>Czerwiec</t>
        </is>
      </c>
      <c r="K3" t="inlineStr">
        <is>
          <t>Lipiec</t>
        </is>
      </c>
      <c r="L3" t="inlineStr">
        <is>
          <t>Sierpień</t>
        </is>
      </c>
      <c r="M3" t="inlineStr">
        <is>
          <t>Wrzesień</t>
        </is>
      </c>
      <c r="N3" t="inlineStr">
        <is>
          <t>Październik</t>
        </is>
      </c>
      <c r="O3" t="inlineStr">
        <is>
          <t>Listopad</t>
        </is>
      </c>
    </row>
    <row r="4">
      <c r="A4" t="inlineStr">
        <is>
          <t>Outbound</t>
        </is>
      </c>
      <c r="B4" t="inlineStr">
        <is>
          <t>Akwizycja telefoniczna</t>
        </is>
      </c>
      <c r="D4" t="inlineStr">
        <is>
          <t>Wszelkie Leady (włączając MLe po konwersji na Leada)</t>
        </is>
      </c>
      <c r="E4" t="n">
        <v>164</v>
      </c>
      <c r="F4" t="n">
        <v>177</v>
      </c>
      <c r="G4" t="n">
        <v>150</v>
      </c>
      <c r="H4" t="n">
        <v>436</v>
      </c>
      <c r="I4" t="n">
        <v>345</v>
      </c>
      <c r="J4" t="n">
        <v>79</v>
      </c>
      <c r="K4" t="n">
        <v>29</v>
      </c>
      <c r="L4" t="n">
        <v>5</v>
      </c>
      <c r="M4" t="n">
        <v>21</v>
      </c>
      <c r="N4" t="n">
        <v>19</v>
      </c>
      <c r="O4" t="n">
        <v>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K23"/>
  <sheetViews>
    <sheetView workbookViewId="0">
      <selection activeCell="J17" sqref="J17"/>
    </sheetView>
  </sheetViews>
  <sheetFormatPr baseColWidth="8" defaultRowHeight="14.5"/>
  <cols>
    <col width="33.08984375" bestFit="1" customWidth="1" min="1" max="1"/>
    <col width="13.08984375" bestFit="1" customWidth="1" min="2" max="2"/>
    <col width="10.1796875" bestFit="1" customWidth="1" min="3" max="3"/>
    <col width="12.54296875" bestFit="1" customWidth="1" min="4" max="4"/>
    <col width="14.1796875" bestFit="1" customWidth="1" min="5" max="5"/>
    <col width="9.6328125" bestFit="1" customWidth="1" min="6" max="6"/>
    <col width="14.1796875" bestFit="1" customWidth="1" min="7" max="7"/>
    <col width="11.6328125" bestFit="1" customWidth="1" min="8" max="8"/>
    <col width="13.54296875" bestFit="1" customWidth="1" min="9" max="9"/>
    <col width="14.1796875" bestFit="1" customWidth="1" min="10" max="10"/>
    <col width="16.08984375" bestFit="1" customWidth="1" min="11" max="11"/>
    <col width="10.1796875" bestFit="1" customWidth="1" min="12" max="12"/>
    <col width="12.54296875" bestFit="1" customWidth="1" min="13" max="13"/>
    <col width="13.08984375" bestFit="1" customWidth="1" min="14" max="14"/>
    <col width="10.1796875" bestFit="1" customWidth="1" min="15" max="15"/>
    <col width="12.54296875" bestFit="1" customWidth="1" min="16" max="16"/>
    <col width="13.08984375" bestFit="1" customWidth="1" min="17" max="17"/>
    <col width="10.1796875" bestFit="1" customWidth="1" min="18" max="18"/>
    <col width="12.54296875" bestFit="1" customWidth="1" min="19" max="19"/>
    <col width="13.08984375" bestFit="1" customWidth="1" min="20" max="20"/>
    <col width="10.1796875" bestFit="1" customWidth="1" min="21" max="21"/>
    <col width="12.54296875" bestFit="1" customWidth="1" min="22" max="22"/>
    <col width="13.08984375" bestFit="1" customWidth="1" min="23" max="23"/>
    <col width="10.1796875" bestFit="1" customWidth="1" min="24" max="24"/>
    <col width="12.54296875" bestFit="1" customWidth="1" min="25" max="25"/>
    <col width="13.08984375" bestFit="1" customWidth="1" min="26" max="26"/>
    <col width="10.1796875" bestFit="1" customWidth="1" min="27" max="27"/>
    <col width="12.54296875" bestFit="1" customWidth="1" min="28" max="28"/>
    <col width="13.08984375" bestFit="1" customWidth="1" min="29" max="29"/>
    <col width="10.1796875" bestFit="1" customWidth="1" min="30" max="30"/>
    <col width="12.54296875" bestFit="1" customWidth="1" min="31" max="31"/>
    <col width="13.08984375" bestFit="1" customWidth="1" min="32" max="32"/>
    <col width="10.1796875" bestFit="1" customWidth="1" min="33" max="33"/>
    <col width="12.54296875" bestFit="1" customWidth="1" min="34" max="34"/>
    <col width="17.54296875" bestFit="1" customWidth="1" min="35" max="35"/>
    <col width="14.54296875" bestFit="1" customWidth="1" min="36" max="36"/>
    <col width="16.90625" bestFit="1" customWidth="1" min="37" max="37"/>
    <col width="13.08984375" bestFit="1" customWidth="1" min="38" max="38"/>
    <col width="10.1796875" bestFit="1" customWidth="1" min="39" max="39"/>
    <col width="13.08984375" bestFit="1" customWidth="1" min="40" max="40"/>
    <col width="10.1796875" bestFit="1" customWidth="1" min="41" max="41"/>
    <col width="13.08984375" bestFit="1" customWidth="1" min="42" max="42"/>
    <col width="10.1796875" bestFit="1" customWidth="1" min="43" max="43"/>
    <col width="13.08984375" bestFit="1" customWidth="1" min="44" max="44"/>
    <col width="10.1796875" bestFit="1" customWidth="1" min="45" max="45"/>
    <col width="13.08984375" bestFit="1" customWidth="1" min="46" max="46"/>
    <col width="10.1796875" bestFit="1" customWidth="1" min="47" max="47"/>
    <col width="13.08984375" bestFit="1" customWidth="1" min="48" max="48"/>
    <col width="10.1796875" bestFit="1" customWidth="1" min="49" max="49"/>
    <col width="19.36328125" bestFit="1" customWidth="1" min="50" max="50"/>
    <col width="16.453125" bestFit="1" customWidth="1" min="51" max="51"/>
    <col width="17.54296875" bestFit="1" customWidth="1" min="52" max="52"/>
    <col width="14.54296875" bestFit="1" customWidth="1" min="53" max="53"/>
    <col width="2.6328125" bestFit="1" customWidth="1" min="54" max="55"/>
    <col width="6.54296875" bestFit="1" customWidth="1" min="56" max="56"/>
    <col width="10.81640625" bestFit="1" customWidth="1" min="57" max="59"/>
    <col width="9.90625" bestFit="1" customWidth="1" min="60" max="60"/>
  </cols>
  <sheetData>
    <row r="3">
      <c r="A3" s="15" t="inlineStr">
        <is>
          <t>Row Labels</t>
        </is>
      </c>
      <c r="B3" t="inlineStr">
        <is>
          <t>Sum of Styczeń</t>
        </is>
      </c>
      <c r="C3" t="inlineStr">
        <is>
          <t>Sum of Luty</t>
        </is>
      </c>
      <c r="D3" t="inlineStr">
        <is>
          <t>Sum of Marzec</t>
        </is>
      </c>
      <c r="E3" t="inlineStr">
        <is>
          <t>Sum of Kwiecień</t>
        </is>
      </c>
      <c r="F3" t="inlineStr">
        <is>
          <t>Sum of Maj</t>
        </is>
      </c>
      <c r="G3" t="inlineStr">
        <is>
          <t>Sum of Czerwiec</t>
        </is>
      </c>
      <c r="H3" t="inlineStr">
        <is>
          <t>Sum of Lipiec</t>
        </is>
      </c>
      <c r="I3" t="inlineStr">
        <is>
          <t>Sum of Sierpień</t>
        </is>
      </c>
      <c r="J3" t="inlineStr">
        <is>
          <t>Sum of Wrzesień</t>
        </is>
      </c>
      <c r="K3" t="inlineStr">
        <is>
          <t>Sum of Październik</t>
        </is>
      </c>
    </row>
    <row r="4">
      <c r="A4" s="8" t="inlineStr">
        <is>
          <t>Inbound</t>
        </is>
      </c>
      <c r="B4" t="n">
        <v>22</v>
      </c>
      <c r="C4" t="n">
        <v>20</v>
      </c>
      <c r="D4" t="n">
        <v>32</v>
      </c>
      <c r="E4" t="n">
        <v>143</v>
      </c>
      <c r="F4" t="n">
        <v>210</v>
      </c>
      <c r="G4" t="n">
        <v>182</v>
      </c>
      <c r="H4" t="n">
        <v>301</v>
      </c>
      <c r="I4" t="n">
        <v>160</v>
      </c>
      <c r="J4" t="n">
        <v>292</v>
      </c>
      <c r="K4" t="n">
        <v>735</v>
      </c>
    </row>
    <row r="5">
      <c r="A5" s="16" t="inlineStr">
        <is>
          <t>Facebook</t>
        </is>
      </c>
      <c r="E5" t="n">
        <v>70</v>
      </c>
      <c r="F5" t="n">
        <v>186</v>
      </c>
      <c r="G5" t="n">
        <v>153</v>
      </c>
      <c r="H5" t="n">
        <v>263</v>
      </c>
      <c r="I5" t="n">
        <v>139</v>
      </c>
      <c r="J5" t="n">
        <v>143</v>
      </c>
      <c r="K5" t="n">
        <v>89</v>
      </c>
    </row>
    <row r="6">
      <c r="A6" s="16" t="inlineStr">
        <is>
          <t>Firma polecająca</t>
        </is>
      </c>
      <c r="B6" t="n">
        <v>1</v>
      </c>
      <c r="C6" t="n">
        <v>1</v>
      </c>
      <c r="E6" t="n">
        <v>2</v>
      </c>
      <c r="F6" t="n">
        <v>2</v>
      </c>
      <c r="G6" t="n">
        <v>1</v>
      </c>
      <c r="H6" t="n">
        <v>2</v>
      </c>
      <c r="J6" t="n">
        <v>2</v>
      </c>
    </row>
    <row r="7">
      <c r="A7" s="16" t="inlineStr">
        <is>
          <t>Konferencja zewnętrzna</t>
        </is>
      </c>
      <c r="K7" t="n">
        <v>1</v>
      </c>
    </row>
    <row r="8">
      <c r="A8" s="16" t="inlineStr">
        <is>
          <t>LinkedIn</t>
        </is>
      </c>
      <c r="E8" t="n">
        <v>2</v>
      </c>
    </row>
    <row r="9">
      <c r="A9" s="16" t="inlineStr">
        <is>
          <t>Partner polecający</t>
        </is>
      </c>
      <c r="D9" t="n">
        <v>2</v>
      </c>
      <c r="E9" t="n">
        <v>4</v>
      </c>
      <c r="G9" t="n">
        <v>2</v>
      </c>
      <c r="H9" t="n">
        <v>5</v>
      </c>
      <c r="J9" t="n">
        <v>2</v>
      </c>
      <c r="K9" t="n">
        <v>355</v>
      </c>
    </row>
    <row r="10">
      <c r="A10" s="16" t="inlineStr">
        <is>
          <t>Polecenie</t>
        </is>
      </c>
      <c r="B10" t="n">
        <v>9</v>
      </c>
      <c r="D10" t="n">
        <v>1</v>
      </c>
      <c r="G10" t="n">
        <v>1</v>
      </c>
      <c r="I10" t="n">
        <v>1</v>
      </c>
      <c r="J10" t="n">
        <v>125</v>
      </c>
      <c r="K10" t="n">
        <v>270</v>
      </c>
    </row>
    <row r="11">
      <c r="A11" s="16" t="inlineStr">
        <is>
          <t>Pracownik polecający</t>
        </is>
      </c>
      <c r="B11" t="n">
        <v>1</v>
      </c>
      <c r="H11" t="n">
        <v>1</v>
      </c>
    </row>
    <row r="12">
      <c r="A12" s="16" t="inlineStr">
        <is>
          <t>Strona internetowa medidesk</t>
        </is>
      </c>
      <c r="B12" t="n">
        <v>10</v>
      </c>
      <c r="C12" t="n">
        <v>13</v>
      </c>
      <c r="D12" t="n">
        <v>17</v>
      </c>
      <c r="E12" t="n">
        <v>55</v>
      </c>
      <c r="F12" t="n">
        <v>22</v>
      </c>
      <c r="G12" t="n">
        <v>19</v>
      </c>
      <c r="H12" t="n">
        <v>28</v>
      </c>
      <c r="I12" t="n">
        <v>20</v>
      </c>
      <c r="J12" t="n">
        <v>19</v>
      </c>
      <c r="K12" t="n">
        <v>19</v>
      </c>
    </row>
    <row r="13">
      <c r="A13" s="16" t="inlineStr">
        <is>
          <t>Telefon na biuro</t>
        </is>
      </c>
      <c r="B13" t="n">
        <v>1</v>
      </c>
      <c r="D13" t="n">
        <v>2</v>
      </c>
      <c r="G13" t="n">
        <v>1</v>
      </c>
      <c r="J13" t="n">
        <v>1</v>
      </c>
      <c r="K13" t="n">
        <v>1</v>
      </c>
    </row>
    <row r="14">
      <c r="A14" s="16" t="inlineStr">
        <is>
          <t>Webinar</t>
        </is>
      </c>
      <c r="C14" t="n">
        <v>1</v>
      </c>
      <c r="D14" t="n">
        <v>2</v>
      </c>
      <c r="E14" t="n">
        <v>2</v>
      </c>
      <c r="G14" t="n">
        <v>3</v>
      </c>
    </row>
    <row r="15">
      <c r="A15" s="16" t="inlineStr">
        <is>
          <t>Webinary medidesk</t>
        </is>
      </c>
      <c r="C15" t="n">
        <v>5</v>
      </c>
      <c r="D15" t="n">
        <v>8</v>
      </c>
      <c r="E15" t="n">
        <v>8</v>
      </c>
      <c r="G15" t="n">
        <v>2</v>
      </c>
      <c r="H15" t="n">
        <v>2</v>
      </c>
    </row>
    <row r="16">
      <c r="A16" s="8" t="inlineStr">
        <is>
          <t>Outbound</t>
        </is>
      </c>
      <c r="B16" t="n">
        <v>171</v>
      </c>
      <c r="C16" t="n">
        <v>191</v>
      </c>
      <c r="D16" t="n">
        <v>152</v>
      </c>
      <c r="E16" t="n">
        <v>439</v>
      </c>
      <c r="F16" t="n">
        <v>351</v>
      </c>
      <c r="G16" t="n">
        <v>91</v>
      </c>
      <c r="H16" t="n">
        <v>32</v>
      </c>
      <c r="I16" t="n">
        <v>5</v>
      </c>
      <c r="J16" t="n">
        <v>21</v>
      </c>
      <c r="K16" t="n">
        <v>19</v>
      </c>
    </row>
    <row r="17">
      <c r="A17" s="16" t="inlineStr">
        <is>
          <t>Akwizycja telefoniczna</t>
        </is>
      </c>
      <c r="B17" t="n">
        <v>164</v>
      </c>
      <c r="C17" t="n">
        <v>177</v>
      </c>
      <c r="D17" t="n">
        <v>150</v>
      </c>
      <c r="E17" t="n">
        <v>436</v>
      </c>
      <c r="F17" t="n">
        <v>345</v>
      </c>
      <c r="G17" t="n">
        <v>79</v>
      </c>
      <c r="H17" t="n">
        <v>29</v>
      </c>
      <c r="I17" t="n">
        <v>5</v>
      </c>
      <c r="J17" t="n">
        <v>21</v>
      </c>
      <c r="K17" t="n">
        <v>19</v>
      </c>
    </row>
    <row r="18">
      <c r="A18" s="16" t="inlineStr">
        <is>
          <t>Akwizycja telefoniczna po webinarze</t>
        </is>
      </c>
      <c r="G18" t="n">
        <v>2</v>
      </c>
    </row>
    <row r="19">
      <c r="A19" s="16" t="inlineStr">
        <is>
          <t>Facebook</t>
        </is>
      </c>
      <c r="G19" t="n">
        <v>1</v>
      </c>
    </row>
    <row r="20">
      <c r="A20" s="16" t="inlineStr">
        <is>
          <t>Facebook po pobraniu</t>
        </is>
      </c>
      <c r="F20" t="n">
        <v>3</v>
      </c>
      <c r="G20" t="n">
        <v>1</v>
      </c>
    </row>
    <row r="21">
      <c r="A21" s="16" t="inlineStr">
        <is>
          <t>Reinkarnacja</t>
        </is>
      </c>
      <c r="B21" t="n">
        <v>7</v>
      </c>
      <c r="C21" t="n">
        <v>14</v>
      </c>
      <c r="D21" t="n">
        <v>2</v>
      </c>
      <c r="E21" t="n">
        <v>3</v>
      </c>
      <c r="F21" t="n">
        <v>3</v>
      </c>
      <c r="G21" t="n">
        <v>3</v>
      </c>
      <c r="H21" t="n">
        <v>3</v>
      </c>
    </row>
    <row r="22">
      <c r="A22" s="16" t="inlineStr">
        <is>
          <t>Scrapper</t>
        </is>
      </c>
      <c r="G22" t="n">
        <v>5</v>
      </c>
    </row>
    <row r="23">
      <c r="A23" s="8" t="inlineStr">
        <is>
          <t>Grand Total</t>
        </is>
      </c>
      <c r="B23" t="n">
        <v>193</v>
      </c>
      <c r="C23" t="n">
        <v>211</v>
      </c>
      <c r="D23" t="n">
        <v>184</v>
      </c>
      <c r="E23" t="n">
        <v>582</v>
      </c>
      <c r="F23" t="n">
        <v>561</v>
      </c>
      <c r="G23" t="n">
        <v>273</v>
      </c>
      <c r="H23" t="n">
        <v>333</v>
      </c>
      <c r="I23" t="n">
        <v>165</v>
      </c>
      <c r="J23" t="n">
        <v>313</v>
      </c>
      <c r="K23" t="n">
        <v>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topLeftCell="A31" zoomScale="115" zoomScaleNormal="115" workbookViewId="0">
      <selection activeCell="C12" sqref="C12"/>
    </sheetView>
  </sheetViews>
  <sheetFormatPr baseColWidth="8" defaultRowHeight="14.5"/>
  <cols>
    <col width="29.1796875" bestFit="1" customWidth="1" min="2" max="2"/>
    <col width="63.26953125" bestFit="1" customWidth="1" min="3" max="3"/>
    <col width="45.08984375" bestFit="1" customWidth="1" min="4" max="4"/>
    <col width="9.26953125" bestFit="1" customWidth="1" min="5" max="5"/>
    <col width="6.36328125" bestFit="1" customWidth="1" min="6" max="6"/>
    <col width="8.6328125" bestFit="1" customWidth="1" min="7" max="7"/>
    <col width="10.26953125" bestFit="1" customWidth="1" min="8" max="8"/>
    <col width="5.81640625" bestFit="1" customWidth="1" min="9" max="9"/>
    <col width="10.26953125" bestFit="1" customWidth="1" min="10" max="10"/>
    <col width="7.81640625" bestFit="1" customWidth="1" min="11" max="11"/>
    <col width="9.6328125" bestFit="1" customWidth="1" min="12" max="12"/>
    <col width="10.26953125" bestFit="1" customWidth="1" min="13" max="13"/>
    <col width="12.26953125" bestFit="1" customWidth="1" min="14" max="14"/>
    <col width="9.90625" bestFit="1" customWidth="1" min="15" max="16"/>
  </cols>
  <sheetData>
    <row r="1">
      <c r="A1" s="1" t="inlineStr">
        <is>
          <t>I tier</t>
        </is>
      </c>
      <c r="B1" s="1" t="inlineStr">
        <is>
          <t>II tier</t>
        </is>
      </c>
      <c r="C1" s="1" t="inlineStr">
        <is>
          <t>III tier</t>
        </is>
      </c>
      <c r="D1" s="2" t="inlineStr">
        <is>
          <t>Uwagi</t>
        </is>
      </c>
      <c r="E1" s="3" t="inlineStr">
        <is>
          <t>Styczeń</t>
        </is>
      </c>
      <c r="F1" s="3" t="inlineStr">
        <is>
          <t>Luty</t>
        </is>
      </c>
      <c r="G1" s="3" t="inlineStr">
        <is>
          <t>Marzec</t>
        </is>
      </c>
      <c r="H1" s="3" t="inlineStr">
        <is>
          <t>Kwiecień</t>
        </is>
      </c>
      <c r="I1" s="3" t="inlineStr">
        <is>
          <t>Maj</t>
        </is>
      </c>
      <c r="J1" s="3" t="inlineStr">
        <is>
          <t>Czerwiec</t>
        </is>
      </c>
      <c r="K1" s="3" t="inlineStr">
        <is>
          <t>Lipiec</t>
        </is>
      </c>
      <c r="L1" s="3" t="inlineStr">
        <is>
          <t>Sierpień</t>
        </is>
      </c>
      <c r="M1" s="3" t="inlineStr">
        <is>
          <t>Wrzesień</t>
        </is>
      </c>
      <c r="N1" s="3" t="inlineStr">
        <is>
          <t>Październik</t>
        </is>
      </c>
      <c r="O1" s="3" t="inlineStr">
        <is>
          <t>Listopad</t>
        </is>
      </c>
      <c r="P1" s="3" t="inlineStr">
        <is>
          <t>Grudzień</t>
        </is>
      </c>
    </row>
    <row r="2">
      <c r="A2" s="4" t="inlineStr">
        <is>
          <t>Inbound</t>
        </is>
      </c>
      <c r="B2" s="5" t="inlineStr">
        <is>
          <t>Webinary medidesk</t>
        </is>
      </c>
      <c r="C2" s="4" t="inlineStr">
        <is>
          <t>20250219 - AI w służbie zdrowia</t>
        </is>
      </c>
      <c r="D2" s="4" t="inlineStr">
        <is>
          <t>Wszelkie Leady (włączając MLe po konwersji na Leada)</t>
        </is>
      </c>
      <c r="F2" t="n">
        <v>1</v>
      </c>
      <c r="G2" t="n">
        <v>1</v>
      </c>
      <c r="H2" t="n">
        <v>2</v>
      </c>
    </row>
    <row r="3">
      <c r="A3" s="6" t="inlineStr">
        <is>
          <t>Inbound</t>
        </is>
      </c>
      <c r="B3" t="inlineStr">
        <is>
          <t>Webinar</t>
        </is>
      </c>
      <c r="C3" s="7" t="inlineStr">
        <is>
          <t>20250219 - AI w służbie zdrowia</t>
        </is>
      </c>
      <c r="D3" s="6" t="inlineStr">
        <is>
          <t>MLe bez konwersji na leada</t>
        </is>
      </c>
      <c r="F3" t="n">
        <v>4</v>
      </c>
    </row>
    <row r="4">
      <c r="A4" s="4" t="inlineStr">
        <is>
          <t>Inbound</t>
        </is>
      </c>
      <c r="B4" s="5" t="inlineStr">
        <is>
          <t>Webinary medidesk</t>
        </is>
      </c>
      <c r="C4" s="7" t="inlineStr">
        <is>
          <t>20250319 - Jak rozwijać placówkę</t>
        </is>
      </c>
      <c r="D4" s="4" t="inlineStr">
        <is>
          <t>Wszelkie Leady (włączając MLe po konwersji na Leada)</t>
        </is>
      </c>
      <c r="F4" t="n">
        <v>1</v>
      </c>
      <c r="G4" t="n">
        <v>1</v>
      </c>
      <c r="H4" t="n">
        <v>2</v>
      </c>
    </row>
    <row r="5">
      <c r="A5" s="4" t="inlineStr">
        <is>
          <t>Inbound</t>
        </is>
      </c>
      <c r="B5" s="5" t="inlineStr">
        <is>
          <t>Webinary medidesk</t>
        </is>
      </c>
      <c r="C5" s="7" t="inlineStr">
        <is>
          <t>20250409 - Webinar Marafiki</t>
        </is>
      </c>
      <c r="D5" s="4" t="inlineStr">
        <is>
          <t>Wszelkie Leady (włączając MLe po konwersji na Leada)</t>
        </is>
      </c>
      <c r="F5" t="n">
        <v>1</v>
      </c>
      <c r="G5" t="n">
        <v>1</v>
      </c>
      <c r="H5" t="n">
        <v>2</v>
      </c>
      <c r="J5" t="n">
        <v>1</v>
      </c>
    </row>
    <row r="6">
      <c r="A6" s="4" t="inlineStr">
        <is>
          <t>Inbound</t>
        </is>
      </c>
      <c r="B6" s="5" t="inlineStr">
        <is>
          <t>Webinary medidesk</t>
        </is>
      </c>
      <c r="C6" s="4" t="inlineStr">
        <is>
          <t>20250604 - Pozycjonowanie i social media</t>
        </is>
      </c>
      <c r="D6" s="4" t="inlineStr">
        <is>
          <t>Wszelkie Leady (włączając MLe po konwersji na Leada)</t>
        </is>
      </c>
      <c r="F6" t="n">
        <v>1</v>
      </c>
      <c r="G6" t="n">
        <v>1</v>
      </c>
      <c r="H6" t="n">
        <v>2</v>
      </c>
      <c r="J6" t="n">
        <v>1</v>
      </c>
    </row>
    <row r="7">
      <c r="A7" s="4" t="inlineStr">
        <is>
          <t>Inbound</t>
        </is>
      </c>
      <c r="B7" s="5" t="inlineStr">
        <is>
          <t>Webinary medidesk</t>
        </is>
      </c>
      <c r="C7" s="4" t="inlineStr">
        <is>
          <t>20250612 - Chirurgiczny lejek online</t>
        </is>
      </c>
      <c r="D7" s="4" t="inlineStr">
        <is>
          <t>Wszelkie Leady (włączając MLe po konwersji na Leada)</t>
        </is>
      </c>
      <c r="F7" t="n">
        <v>1</v>
      </c>
      <c r="G7" t="n">
        <v>1</v>
      </c>
      <c r="H7" t="n">
        <v>2</v>
      </c>
    </row>
    <row r="8">
      <c r="A8" s="6" t="inlineStr">
        <is>
          <t>Inbound</t>
        </is>
      </c>
      <c r="B8" t="inlineStr">
        <is>
          <t>Webinar</t>
        </is>
      </c>
      <c r="C8" s="4" t="inlineStr">
        <is>
          <t>20250612 - Chirurgiczny lejek online</t>
        </is>
      </c>
      <c r="D8" s="6" t="inlineStr">
        <is>
          <t>MLe bez konwersji na leada</t>
        </is>
      </c>
      <c r="G8" t="n">
        <v>1</v>
      </c>
      <c r="J8" t="n">
        <v>3</v>
      </c>
    </row>
    <row r="9">
      <c r="A9" s="4" t="inlineStr">
        <is>
          <t>Inbound</t>
        </is>
      </c>
      <c r="B9" s="5" t="inlineStr">
        <is>
          <t>Webinary medidesk</t>
        </is>
      </c>
      <c r="C9" s="4" t="inlineStr">
        <is>
          <t>20250625 - Komunikacja z pokoleniem Z</t>
        </is>
      </c>
      <c r="D9" s="4" t="inlineStr">
        <is>
          <t>Wszelkie Leady (włączając MLe po konwersji na Leada)</t>
        </is>
      </c>
      <c r="F9" t="n">
        <v>1</v>
      </c>
      <c r="G9" t="n">
        <v>1</v>
      </c>
      <c r="H9" t="n">
        <v>2</v>
      </c>
      <c r="K9" t="n">
        <v>1</v>
      </c>
    </row>
    <row r="10">
      <c r="A10" s="4" t="inlineStr">
        <is>
          <t>Inbound</t>
        </is>
      </c>
      <c r="B10" s="5" t="inlineStr">
        <is>
          <t>Webinary medidesk</t>
        </is>
      </c>
      <c r="C10" s="4" t="inlineStr">
        <is>
          <t>20250708 - Komunikacja z wymagającym pacjentem</t>
        </is>
      </c>
      <c r="D10" s="4" t="inlineStr">
        <is>
          <t>Wszelkie Leady (włączając MLe po konwersji na Leada)</t>
        </is>
      </c>
      <c r="F10" t="n">
        <v>1</v>
      </c>
      <c r="G10" t="n">
        <v>1</v>
      </c>
      <c r="H10" t="n">
        <v>2</v>
      </c>
      <c r="K10" t="n">
        <v>1</v>
      </c>
    </row>
    <row r="11">
      <c r="A11" s="4" t="inlineStr">
        <is>
          <t>Inbound</t>
        </is>
      </c>
      <c r="B11" s="5" t="inlineStr">
        <is>
          <t>Konferencja zewnętrzna</t>
        </is>
      </c>
      <c r="C11" s="8" t="inlineStr">
        <is>
          <t>202510 Dolmed</t>
        </is>
      </c>
      <c r="D11" s="4" t="inlineStr">
        <is>
          <t>Wszelkie Leady (włączając MLe po konwersji na Leada)</t>
        </is>
      </c>
      <c r="G11" t="n">
        <v>1</v>
      </c>
      <c r="N11" t="n">
        <v>1</v>
      </c>
    </row>
    <row r="12">
      <c r="A12" s="4" t="inlineStr">
        <is>
          <t>Inbound</t>
        </is>
      </c>
      <c r="B12" s="8" t="inlineStr">
        <is>
          <t>Strona internetowa medidesk</t>
        </is>
      </c>
      <c r="C12" s="4" t="inlineStr">
        <is>
          <t>Audyt Marketingowy 202503</t>
        </is>
      </c>
      <c r="D12" s="4" t="inlineStr">
        <is>
          <t>Wszelkie Leady (włączając MLe po konwersji na Leada)</t>
        </is>
      </c>
      <c r="G12" t="n">
        <v>2</v>
      </c>
      <c r="H12" t="n">
        <v>12</v>
      </c>
      <c r="I12" t="n">
        <v>6</v>
      </c>
      <c r="J12" t="n">
        <v>2</v>
      </c>
      <c r="K12" t="n">
        <v>1</v>
      </c>
      <c r="M12" t="n">
        <v>1</v>
      </c>
    </row>
    <row r="13">
      <c r="A13" s="6" t="inlineStr">
        <is>
          <t>Inbound</t>
        </is>
      </c>
      <c r="B13" t="inlineStr">
        <is>
          <t>Strona internetowa medidesk</t>
        </is>
      </c>
      <c r="C13" s="4" t="inlineStr">
        <is>
          <t>Audyt Marketingowy 202503</t>
        </is>
      </c>
      <c r="D13" s="6" t="inlineStr">
        <is>
          <t>MLe bez konwersji na leada</t>
        </is>
      </c>
      <c r="G13" t="n">
        <v>2</v>
      </c>
      <c r="H13" t="n">
        <v>12</v>
      </c>
      <c r="I13" t="n">
        <v>6</v>
      </c>
      <c r="J13" t="n">
        <v>2</v>
      </c>
      <c r="K13" t="n">
        <v>1</v>
      </c>
    </row>
    <row r="14">
      <c r="A14" s="4" t="inlineStr">
        <is>
          <t>Inbound</t>
        </is>
      </c>
      <c r="B14" s="8" t="inlineStr">
        <is>
          <t>Strona internetowa medidesk</t>
        </is>
      </c>
      <c r="C14" s="4" t="inlineStr">
        <is>
          <t>Audyt Tajemniczego Pacjenta 202503</t>
        </is>
      </c>
      <c r="D14" s="4" t="inlineStr">
        <is>
          <t>Wszelkie Leady (włączając MLe po konwersji na Leada)</t>
        </is>
      </c>
      <c r="H14" t="n">
        <v>26</v>
      </c>
      <c r="I14" t="n">
        <v>6</v>
      </c>
      <c r="J14" t="n">
        <v>4</v>
      </c>
      <c r="L14" t="n">
        <v>1</v>
      </c>
      <c r="M14" t="n">
        <v>1</v>
      </c>
    </row>
    <row r="15">
      <c r="A15" s="6" t="inlineStr">
        <is>
          <t>Inbound</t>
        </is>
      </c>
      <c r="B15" t="inlineStr">
        <is>
          <t>Strona internetowa medidesk</t>
        </is>
      </c>
      <c r="C15" s="4" t="inlineStr">
        <is>
          <t>Audyt Tajemniczego Pacjenta 202503</t>
        </is>
      </c>
      <c r="D15" s="6" t="inlineStr">
        <is>
          <t>MLe bez konwersji na leada</t>
        </is>
      </c>
      <c r="G15" t="n">
        <v>2</v>
      </c>
      <c r="H15" t="n">
        <v>12</v>
      </c>
      <c r="I15" t="n">
        <v>6</v>
      </c>
      <c r="J15" t="n">
        <v>2</v>
      </c>
      <c r="K15" t="n">
        <v>1</v>
      </c>
    </row>
    <row r="16">
      <c r="A16" s="4" t="inlineStr">
        <is>
          <t>Inbound</t>
        </is>
      </c>
      <c r="B16" s="8" t="inlineStr">
        <is>
          <t>Partner polecający</t>
        </is>
      </c>
      <c r="C16" s="4" t="inlineStr">
        <is>
          <t>BIZNES BUTIK SPÓŁKA Z OGRANICZONĄ ODPOWIEDZIALNOŚCIĄ</t>
        </is>
      </c>
      <c r="D16" s="4" t="inlineStr">
        <is>
          <t>Wszelkie Leady (włączając MLe po konwersji na Leada)</t>
        </is>
      </c>
      <c r="K16" t="n">
        <v>4</v>
      </c>
      <c r="M16" t="n">
        <v>2</v>
      </c>
      <c r="N16" t="n">
        <v>355</v>
      </c>
    </row>
    <row r="17">
      <c r="A17" s="4" t="inlineStr">
        <is>
          <t>Outbound</t>
        </is>
      </c>
      <c r="B17" s="4" t="inlineStr">
        <is>
          <t>Facebook</t>
        </is>
      </c>
      <c r="C17" s="8" t="inlineStr">
        <is>
          <t>brak danych</t>
        </is>
      </c>
      <c r="D17" s="4" t="inlineStr">
        <is>
          <t>Wszelkie Leady (włączając MLe po konwersji na Leada)</t>
        </is>
      </c>
      <c r="J17" t="n">
        <v>1</v>
      </c>
      <c r="P17" t="n">
        <v>1</v>
      </c>
    </row>
    <row r="18">
      <c r="A18" s="4" t="inlineStr">
        <is>
          <t>Outbound</t>
        </is>
      </c>
      <c r="B18" s="4" t="inlineStr">
        <is>
          <t>Facebook po pobraniu</t>
        </is>
      </c>
      <c r="C18" s="8" t="inlineStr">
        <is>
          <t>brak danych</t>
        </is>
      </c>
      <c r="D18" s="4" t="inlineStr">
        <is>
          <t>Wszelkie Leady (włączając MLe po konwersji na Leada)</t>
        </is>
      </c>
      <c r="I18" t="n">
        <v>3</v>
      </c>
      <c r="J18" t="n">
        <v>1</v>
      </c>
      <c r="P18" t="n">
        <v>1</v>
      </c>
    </row>
    <row r="19">
      <c r="A19" s="4" t="inlineStr">
        <is>
          <t>Inbound</t>
        </is>
      </c>
      <c r="B19" s="8" t="inlineStr">
        <is>
          <t>LinkedIn</t>
        </is>
      </c>
      <c r="C19" s="8" t="inlineStr">
        <is>
          <t>brak danych</t>
        </is>
      </c>
      <c r="D19" s="4" t="inlineStr">
        <is>
          <t>Wszelkie Leady (włączając MLe po konwersji na Leada)</t>
        </is>
      </c>
      <c r="E19" t="n">
        <v>1</v>
      </c>
      <c r="H19" t="n">
        <v>2</v>
      </c>
      <c r="I19" t="n">
        <v>2</v>
      </c>
      <c r="J19" t="n">
        <v>1</v>
      </c>
      <c r="K19" t="n">
        <v>2</v>
      </c>
      <c r="M19" t="n">
        <v>1</v>
      </c>
      <c r="P19" t="n">
        <v>2</v>
      </c>
    </row>
    <row r="20">
      <c r="A20" s="4" t="inlineStr">
        <is>
          <t>Inbound</t>
        </is>
      </c>
      <c r="B20" s="8" t="inlineStr">
        <is>
          <t>Polecenie</t>
        </is>
      </c>
      <c r="C20" s="8" t="inlineStr">
        <is>
          <t>brak danych</t>
        </is>
      </c>
      <c r="D20" s="4" t="inlineStr">
        <is>
          <t>Wszelkie Leady (włączając MLe po konwersji na Leada)</t>
        </is>
      </c>
      <c r="E20" t="n">
        <v>1</v>
      </c>
      <c r="F20" t="n">
        <v>1</v>
      </c>
      <c r="G20" t="n">
        <v>1</v>
      </c>
      <c r="H20" t="n">
        <v>1</v>
      </c>
      <c r="I20" t="n">
        <v>2</v>
      </c>
      <c r="J20" t="n">
        <v>1</v>
      </c>
      <c r="K20" t="n">
        <v>3</v>
      </c>
      <c r="M20" t="n">
        <v>2</v>
      </c>
      <c r="P20" t="n">
        <v>2</v>
      </c>
    </row>
    <row r="21">
      <c r="A21" s="4" t="inlineStr">
        <is>
          <t>Outbound</t>
        </is>
      </c>
      <c r="B21" s="4" t="inlineStr">
        <is>
          <t>Reinkarnacja</t>
        </is>
      </c>
      <c r="C21" s="8" t="inlineStr">
        <is>
          <t>brak danych</t>
        </is>
      </c>
      <c r="D21" s="4" t="inlineStr">
        <is>
          <t>Wszelkie Leady (włączając MLe po konwersji na Leada)</t>
        </is>
      </c>
      <c r="E21" t="n">
        <v>7</v>
      </c>
      <c r="F21" t="n">
        <v>14</v>
      </c>
      <c r="G21" t="n">
        <v>2</v>
      </c>
      <c r="H21" t="n">
        <v>4</v>
      </c>
      <c r="I21" t="n">
        <v>3</v>
      </c>
      <c r="J21" t="n">
        <v>3</v>
      </c>
      <c r="K21" t="n">
        <v>3</v>
      </c>
      <c r="L21" t="n">
        <v>5</v>
      </c>
      <c r="M21" t="n">
        <v>19</v>
      </c>
      <c r="N21" t="n">
        <v>9</v>
      </c>
      <c r="O21" t="n">
        <v>2</v>
      </c>
      <c r="P21" t="n">
        <v>1</v>
      </c>
    </row>
    <row r="22">
      <c r="A22" s="4" t="inlineStr">
        <is>
          <t>Inbound</t>
        </is>
      </c>
      <c r="B22" s="8" t="inlineStr">
        <is>
          <t>Strona internetowa medidesk</t>
        </is>
      </c>
      <c r="C22" s="8" t="inlineStr">
        <is>
          <t>brak danych</t>
        </is>
      </c>
      <c r="D22" s="4" t="inlineStr">
        <is>
          <t>Wszelkie Leady (włączając MLe po konwersji na Leada)</t>
        </is>
      </c>
      <c r="E22" t="n">
        <v>1</v>
      </c>
      <c r="H22" t="n">
        <v>26</v>
      </c>
      <c r="I22" t="n">
        <v>6</v>
      </c>
      <c r="J22" t="n">
        <v>4</v>
      </c>
      <c r="K22" t="n">
        <v>2</v>
      </c>
      <c r="M22" t="n">
        <v>1</v>
      </c>
      <c r="N22" t="n">
        <v>1</v>
      </c>
      <c r="P22" t="n">
        <v>2</v>
      </c>
    </row>
    <row r="23">
      <c r="A23" s="4" t="inlineStr">
        <is>
          <t>Inbound</t>
        </is>
      </c>
      <c r="B23" s="8" t="inlineStr">
        <is>
          <t>Telefon na biuro</t>
        </is>
      </c>
      <c r="C23" s="8" t="inlineStr">
        <is>
          <t>brak danych</t>
        </is>
      </c>
      <c r="D23" s="4" t="inlineStr">
        <is>
          <t>Wszelkie Leady (włączając MLe po konwersji na Leada)</t>
        </is>
      </c>
      <c r="E23" t="n">
        <v>1</v>
      </c>
      <c r="G23" t="n">
        <v>2</v>
      </c>
      <c r="H23" t="n">
        <v>2</v>
      </c>
      <c r="I23" t="n">
        <v>2</v>
      </c>
      <c r="J23" t="n">
        <v>1</v>
      </c>
      <c r="K23" t="n">
        <v>2</v>
      </c>
      <c r="M23" t="n">
        <v>1</v>
      </c>
      <c r="N23" t="n">
        <v>1</v>
      </c>
      <c r="O23" t="n">
        <v>1</v>
      </c>
      <c r="P23" t="n">
        <v>2</v>
      </c>
    </row>
    <row r="24">
      <c r="A24" s="4" t="inlineStr">
        <is>
          <t>Inbound</t>
        </is>
      </c>
      <c r="B24" s="8" t="inlineStr">
        <is>
          <t>Webinar</t>
        </is>
      </c>
      <c r="C24" s="8" t="inlineStr">
        <is>
          <t>brak danych</t>
        </is>
      </c>
      <c r="D24" s="4" t="inlineStr">
        <is>
          <t>Wszelkie Leady (włączając MLe po konwersji na Leada)</t>
        </is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1</v>
      </c>
      <c r="K24" t="n">
        <v>2</v>
      </c>
      <c r="M24" t="n">
        <v>1</v>
      </c>
      <c r="P24" t="n">
        <v>2</v>
      </c>
    </row>
    <row r="25">
      <c r="A25" s="4" t="inlineStr">
        <is>
          <t>Inbound</t>
        </is>
      </c>
      <c r="B25" s="5" t="inlineStr">
        <is>
          <t>Firma polecająca</t>
        </is>
      </c>
      <c r="C25" s="8" t="inlineStr">
        <is>
          <t>brak danych</t>
        </is>
      </c>
      <c r="D25" s="4" t="inlineStr">
        <is>
          <t>Wszelkie Leady (włączając MLe po konwersji na Leada)</t>
        </is>
      </c>
      <c r="E25" t="n">
        <v>1</v>
      </c>
      <c r="H25" t="n">
        <v>2</v>
      </c>
      <c r="I25" t="n">
        <v>2</v>
      </c>
      <c r="J25" t="n">
        <v>1</v>
      </c>
      <c r="K25" t="n">
        <v>2</v>
      </c>
      <c r="M25" t="n">
        <v>1</v>
      </c>
      <c r="O25" t="n">
        <v>1</v>
      </c>
      <c r="P25" t="n">
        <v>1</v>
      </c>
    </row>
    <row r="26">
      <c r="A26" s="4" t="inlineStr">
        <is>
          <t>Inbound</t>
        </is>
      </c>
      <c r="B26" s="8" t="inlineStr">
        <is>
          <t>Firma polecająca</t>
        </is>
      </c>
      <c r="C26" s="8" t="inlineStr">
        <is>
          <t>CLINICLAB SPECJALISTYCZNE BADANIA LABORATORYJNE SPÓŁKA AKCYJNA</t>
        </is>
      </c>
      <c r="D26" s="4" t="inlineStr">
        <is>
          <t>Wszelkie Leady (włączając MLe po konwersji na Leada)</t>
        </is>
      </c>
    </row>
    <row r="27">
      <c r="A27" s="4" t="inlineStr">
        <is>
          <t>Inbound</t>
        </is>
      </c>
      <c r="B27" s="8" t="inlineStr">
        <is>
          <t>Partner polecający</t>
        </is>
      </c>
      <c r="C27" s="4" t="inlineStr">
        <is>
          <t>CLINICLAB SPECJALISTYCZNE BADANIA LABORATORYJNE SPÓŁKA AKCYJNA</t>
        </is>
      </c>
      <c r="D27" s="4" t="inlineStr">
        <is>
          <t>Wszelkie Leady (włączając MLe po konwersji na Leada)</t>
        </is>
      </c>
      <c r="H27" t="n">
        <v>3</v>
      </c>
    </row>
    <row r="28">
      <c r="A28" s="4" t="inlineStr">
        <is>
          <t>Inbound</t>
        </is>
      </c>
      <c r="B28" s="8" t="inlineStr">
        <is>
          <t>Partner polecający</t>
        </is>
      </c>
      <c r="C28" s="4" t="inlineStr">
        <is>
          <t>COMPERIA.PL SPÓŁKA AKCYJNA</t>
        </is>
      </c>
      <c r="D28" s="4" t="inlineStr">
        <is>
          <t>Wszelkie Leady (włączając MLe po konwersji na Leada)</t>
        </is>
      </c>
      <c r="G28" t="n">
        <v>1</v>
      </c>
      <c r="H28" t="n">
        <v>1</v>
      </c>
      <c r="J28" t="n">
        <v>2</v>
      </c>
      <c r="K28" t="n">
        <v>1</v>
      </c>
    </row>
    <row r="29">
      <c r="A29" s="4" t="inlineStr">
        <is>
          <t>Inbound</t>
        </is>
      </c>
      <c r="B29" s="8" t="inlineStr">
        <is>
          <t>Firma polecająca</t>
        </is>
      </c>
      <c r="C29" s="8" t="inlineStr">
        <is>
          <t>DENTAL FRATERNITY INVEST SPÓŁKA Z OGRANICZONĄ ODPOWIEDZIALNOŚCIĄ</t>
        </is>
      </c>
      <c r="D29" s="4" t="inlineStr">
        <is>
          <t>Wszelkie Leady (włączając MLe po konwersji na Leada)</t>
        </is>
      </c>
      <c r="F29" t="n">
        <v>1</v>
      </c>
    </row>
    <row r="30">
      <c r="A30" s="7" t="inlineStr">
        <is>
          <t>Inbound</t>
        </is>
      </c>
      <c r="B30" s="8" t="inlineStr">
        <is>
          <t>Facebook</t>
        </is>
      </c>
      <c r="C30" s="8" t="inlineStr">
        <is>
          <t>EBook Trudny Pacjent</t>
        </is>
      </c>
      <c r="D30" s="4" t="inlineStr">
        <is>
          <t>Wszelkie Leady (włączając MLe po konwersji na Leada)</t>
        </is>
      </c>
      <c r="H30" t="n">
        <v>33</v>
      </c>
      <c r="I30" t="n">
        <v>127</v>
      </c>
      <c r="J30" t="n">
        <v>67</v>
      </c>
      <c r="K30" t="n">
        <v>116</v>
      </c>
      <c r="L30" t="n">
        <v>8</v>
      </c>
      <c r="M30" t="n">
        <v>40</v>
      </c>
    </row>
    <row r="31">
      <c r="A31" s="6" t="inlineStr">
        <is>
          <t>Inbound</t>
        </is>
      </c>
      <c r="B31" t="inlineStr">
        <is>
          <t>Facebook</t>
        </is>
      </c>
      <c r="C31" s="4" t="inlineStr">
        <is>
          <t>EBook Trudny Pacjent</t>
        </is>
      </c>
      <c r="D31" s="6" t="inlineStr">
        <is>
          <t>MLe bez konwersji na leada</t>
        </is>
      </c>
      <c r="H31" t="n">
        <v>33</v>
      </c>
      <c r="I31" t="n">
        <v>127</v>
      </c>
      <c r="J31" t="n">
        <v>67</v>
      </c>
      <c r="K31" t="n">
        <v>116</v>
      </c>
      <c r="L31" t="n">
        <v>8</v>
      </c>
    </row>
    <row r="32">
      <c r="A32" s="6" t="inlineStr">
        <is>
          <t>Inbound</t>
        </is>
      </c>
      <c r="B32" s="9" t="inlineStr">
        <is>
          <t>Facebook</t>
        </is>
      </c>
      <c r="C32" s="4" t="inlineStr">
        <is>
          <t>EBook Trudny Pacjent</t>
        </is>
      </c>
      <c r="D32" s="6" t="inlineStr">
        <is>
          <t>MLe bez konwersji na leada</t>
        </is>
      </c>
      <c r="H32" t="n">
        <v>33</v>
      </c>
      <c r="I32" t="n">
        <v>127</v>
      </c>
      <c r="J32" t="n">
        <v>67</v>
      </c>
      <c r="K32" t="n">
        <v>116</v>
      </c>
      <c r="L32" t="n">
        <v>8</v>
      </c>
    </row>
    <row r="33">
      <c r="A33" s="4" t="inlineStr">
        <is>
          <t>Inbound</t>
        </is>
      </c>
      <c r="B33" s="8" t="inlineStr">
        <is>
          <t>Facebook</t>
        </is>
      </c>
      <c r="C33" s="8" t="inlineStr">
        <is>
          <t>EBook Zmiany w prawie marketingu medycznego</t>
        </is>
      </c>
      <c r="D33" s="4" t="inlineStr">
        <is>
          <t>Wszelkie Leady (włączając MLe po konwersji na Leada)</t>
        </is>
      </c>
      <c r="H33" t="n">
        <v>38</v>
      </c>
      <c r="I33" t="n">
        <v>10</v>
      </c>
      <c r="J33" t="n">
        <v>1</v>
      </c>
      <c r="K33" t="n">
        <v>12</v>
      </c>
      <c r="L33" t="n">
        <v>76</v>
      </c>
      <c r="M33" t="n">
        <v>40</v>
      </c>
      <c r="N33" t="n">
        <v>35</v>
      </c>
    </row>
    <row r="34">
      <c r="A34" s="6" t="inlineStr">
        <is>
          <t>Inbound</t>
        </is>
      </c>
      <c r="B34" t="inlineStr">
        <is>
          <t>Facebook</t>
        </is>
      </c>
      <c r="C34" s="4" t="inlineStr">
        <is>
          <t>EBook Zmiany w prawie marketingu medycznego</t>
        </is>
      </c>
      <c r="D34" s="6" t="inlineStr">
        <is>
          <t>MLe bez konwersji na leada</t>
        </is>
      </c>
      <c r="H34" t="n">
        <v>33</v>
      </c>
      <c r="I34" t="n">
        <v>127</v>
      </c>
      <c r="J34" t="n">
        <v>67</v>
      </c>
      <c r="K34" t="n">
        <v>116</v>
      </c>
      <c r="L34" t="n">
        <v>8</v>
      </c>
      <c r="M34" t="n">
        <v>11</v>
      </c>
      <c r="N34" t="n">
        <v>30</v>
      </c>
      <c r="O34" t="n">
        <v>27</v>
      </c>
    </row>
    <row r="35">
      <c r="A35" s="4" t="inlineStr">
        <is>
          <t>Inbound</t>
        </is>
      </c>
      <c r="B35" s="10" t="inlineStr">
        <is>
          <t>Facebook</t>
        </is>
      </c>
      <c r="C35" s="8" t="inlineStr">
        <is>
          <t>EBook Zyskowna przychodnia - redukcja kosztów</t>
        </is>
      </c>
      <c r="D35" s="4" t="inlineStr">
        <is>
          <t>Wszelkie Leady (włączając MLe po konwersji na Leada)</t>
        </is>
      </c>
      <c r="H35" t="n">
        <v>38</v>
      </c>
      <c r="I35" t="n">
        <v>10</v>
      </c>
      <c r="J35" t="n">
        <v>1</v>
      </c>
      <c r="K35" t="n">
        <v>12</v>
      </c>
      <c r="L35" t="n">
        <v>76</v>
      </c>
      <c r="M35" t="n">
        <v>40</v>
      </c>
      <c r="N35" t="n">
        <v>9</v>
      </c>
    </row>
    <row r="36">
      <c r="A36" s="6" t="inlineStr">
        <is>
          <t>Inbound</t>
        </is>
      </c>
      <c r="B36" s="9" t="inlineStr">
        <is>
          <t>Facebook</t>
        </is>
      </c>
      <c r="C36" s="4" t="inlineStr">
        <is>
          <t>EBook Zyskowna przychodnia - redukcja kosztów</t>
        </is>
      </c>
      <c r="D36" s="6" t="inlineStr">
        <is>
          <t>MLe bez konwersji na leada</t>
        </is>
      </c>
      <c r="H36" t="n">
        <v>33</v>
      </c>
      <c r="I36" t="n">
        <v>127</v>
      </c>
      <c r="J36" t="n">
        <v>67</v>
      </c>
      <c r="K36" t="n">
        <v>116</v>
      </c>
      <c r="L36" t="n">
        <v>8</v>
      </c>
      <c r="M36" t="n">
        <v>4</v>
      </c>
      <c r="N36" t="n">
        <v>6</v>
      </c>
      <c r="O36" t="n">
        <v>8</v>
      </c>
    </row>
    <row r="37">
      <c r="A37" s="4" t="inlineStr">
        <is>
          <t>Inbound</t>
        </is>
      </c>
      <c r="B37" s="10" t="inlineStr">
        <is>
          <t>Strona internetowa medidesk</t>
        </is>
      </c>
      <c r="C37" s="4" t="inlineStr">
        <is>
          <t>Email biuro</t>
        </is>
      </c>
      <c r="D37" s="4" t="inlineStr">
        <is>
          <t>Wszelkie Leady (włączając MLe po konwersji na Leada)</t>
        </is>
      </c>
      <c r="F37" t="n">
        <v>1</v>
      </c>
      <c r="G37" t="n">
        <v>1</v>
      </c>
      <c r="H37" t="n">
        <v>26</v>
      </c>
      <c r="I37" t="n">
        <v>6</v>
      </c>
      <c r="J37" t="n">
        <v>4</v>
      </c>
      <c r="M37" t="n">
        <v>1</v>
      </c>
    </row>
    <row r="38">
      <c r="A38" s="4" t="inlineStr">
        <is>
          <t>Inbound</t>
        </is>
      </c>
      <c r="B38" s="10" t="inlineStr">
        <is>
          <t>Strona internetowa medidesk</t>
        </is>
      </c>
      <c r="C38" s="4" t="inlineStr">
        <is>
          <t>FB</t>
        </is>
      </c>
      <c r="D38" s="4" t="inlineStr">
        <is>
          <t>Wszelkie Leady (włączając MLe po konwersji na Leada)</t>
        </is>
      </c>
      <c r="G38" t="n">
        <v>1</v>
      </c>
      <c r="H38" t="n">
        <v>1</v>
      </c>
      <c r="K38" t="n">
        <v>1</v>
      </c>
      <c r="L38" t="n">
        <v>8</v>
      </c>
      <c r="M38" t="n">
        <v>4</v>
      </c>
      <c r="N38" t="n">
        <v>5</v>
      </c>
      <c r="O38" t="n">
        <v>2</v>
      </c>
      <c r="P38" t="n">
        <v>7</v>
      </c>
    </row>
    <row r="39">
      <c r="A39" s="4" t="inlineStr">
        <is>
          <t>Inbound</t>
        </is>
      </c>
      <c r="B39" s="10" t="inlineStr">
        <is>
          <t>Partner polecający</t>
        </is>
      </c>
      <c r="C39" s="4" t="inlineStr">
        <is>
          <t>INSTYTUT DENTALWAY KAMIL KUCZEWSKI</t>
        </is>
      </c>
      <c r="D39" s="4" t="inlineStr">
        <is>
          <t>Wszelkie Leady (włączając MLe po konwersji na Leada)</t>
        </is>
      </c>
      <c r="G39" t="n">
        <v>1</v>
      </c>
    </row>
    <row r="40">
      <c r="A40" s="6" t="inlineStr">
        <is>
          <t>Inbound</t>
        </is>
      </c>
      <c r="B40" s="9" t="inlineStr">
        <is>
          <t>Strona internetowa medidesk</t>
        </is>
      </c>
      <c r="C40" s="4" t="inlineStr">
        <is>
          <t>Integracja z Medfile</t>
        </is>
      </c>
      <c r="D40" s="6" t="inlineStr">
        <is>
          <t>MLe bez konwersji na leada</t>
        </is>
      </c>
      <c r="G40" t="n">
        <v>2</v>
      </c>
      <c r="H40" t="n">
        <v>12</v>
      </c>
      <c r="I40" t="n">
        <v>6</v>
      </c>
      <c r="J40" t="n">
        <v>2</v>
      </c>
      <c r="K40" t="n">
        <v>1</v>
      </c>
      <c r="N40" t="n">
        <v>6</v>
      </c>
    </row>
    <row r="41">
      <c r="A41" s="4" t="inlineStr">
        <is>
          <t>Inbound</t>
        </is>
      </c>
      <c r="B41" s="8" t="inlineStr">
        <is>
          <t>Pracownik polecający</t>
        </is>
      </c>
      <c r="C41" s="10" t="inlineStr">
        <is>
          <t>Marek Wcisło</t>
        </is>
      </c>
      <c r="D41" s="4" t="inlineStr">
        <is>
          <t>Wszelkie Leady (włączając MLe po konwersji na Leada)</t>
        </is>
      </c>
      <c r="K41" t="n">
        <v>1</v>
      </c>
    </row>
    <row r="42">
      <c r="A42" s="7" t="inlineStr">
        <is>
          <t>Inbound</t>
        </is>
      </c>
      <c r="B42" s="8" t="inlineStr">
        <is>
          <t>Strona internetowa medidesk</t>
        </is>
      </c>
      <c r="C42" s="7" t="inlineStr">
        <is>
          <t>Meddiesk 3.0</t>
        </is>
      </c>
      <c r="D42" s="4" t="inlineStr">
        <is>
          <t>Wszelkie Leady (włączając MLe po konwersji na Leada)</t>
        </is>
      </c>
      <c r="H42" t="n">
        <v>26</v>
      </c>
      <c r="I42" t="n">
        <v>6</v>
      </c>
      <c r="J42" t="n">
        <v>4</v>
      </c>
      <c r="K42" t="n">
        <v>1</v>
      </c>
      <c r="L42" t="n">
        <v>2</v>
      </c>
      <c r="M42" t="n">
        <v>1</v>
      </c>
      <c r="N42" t="n">
        <v>1</v>
      </c>
    </row>
    <row r="43">
      <c r="A43" s="11" t="inlineStr">
        <is>
          <t>Inbound</t>
        </is>
      </c>
      <c r="B43" s="3" t="inlineStr">
        <is>
          <t>Strona internetowa medidesk</t>
        </is>
      </c>
      <c r="C43" s="12" t="inlineStr">
        <is>
          <t>Meddiesk 3.0</t>
        </is>
      </c>
      <c r="D43" s="11" t="inlineStr">
        <is>
          <t>MLe bez konwersji na leada</t>
        </is>
      </c>
      <c r="E43" s="3" t="n"/>
      <c r="F43" s="3" t="n"/>
      <c r="G43" s="3" t="n">
        <v>2</v>
      </c>
      <c r="H43" s="3" t="n">
        <v>12</v>
      </c>
      <c r="I43" s="3" t="n">
        <v>6</v>
      </c>
      <c r="J43" s="3" t="n">
        <v>2</v>
      </c>
      <c r="K43" s="3" t="n">
        <v>1</v>
      </c>
      <c r="L43" s="3" t="n">
        <v>1</v>
      </c>
      <c r="M43" s="3" t="n">
        <v>1</v>
      </c>
      <c r="N43" s="3" t="n"/>
      <c r="O43" s="3" t="n"/>
    </row>
    <row r="44">
      <c r="A44" s="12" t="inlineStr">
        <is>
          <t>Inbound</t>
        </is>
      </c>
      <c r="B44" s="13" t="inlineStr">
        <is>
          <t>Partner polecający</t>
        </is>
      </c>
      <c r="C44" s="12" t="inlineStr">
        <is>
          <t>MEDFILE SPÓŁKA Z OGRANICZONĄ ODPOWIEDZIALNOŚCIĄ</t>
        </is>
      </c>
      <c r="D44" s="12" t="inlineStr">
        <is>
          <t>Wszelkie Leady (włączając MLe po konwersji na Leada)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1</v>
      </c>
    </row>
    <row r="45">
      <c r="A45" s="12" t="inlineStr">
        <is>
          <t>Inbound</t>
        </is>
      </c>
      <c r="B45" s="13" t="inlineStr">
        <is>
          <t>Strona internetowa medidesk</t>
        </is>
      </c>
      <c r="C45" s="12" t="inlineStr">
        <is>
          <t>Medidesk EDU audyty</t>
        </is>
      </c>
      <c r="D45" s="12" t="inlineStr">
        <is>
          <t>Wszelkie Leady (włączając MLe po konwersji na Leada)</t>
        </is>
      </c>
      <c r="E45" s="3" t="n"/>
      <c r="F45" s="3" t="n">
        <v>2</v>
      </c>
      <c r="G45" s="3" t="n"/>
      <c r="H45" s="3" t="n">
        <v>26</v>
      </c>
      <c r="I45" s="3" t="n">
        <v>6</v>
      </c>
      <c r="J45" s="3" t="n">
        <v>4</v>
      </c>
      <c r="K45" s="3" t="n"/>
      <c r="L45" s="3" t="n"/>
      <c r="M45" s="3" t="n">
        <v>1</v>
      </c>
      <c r="N45" s="3" t="n"/>
      <c r="O45" s="3" t="n"/>
    </row>
    <row r="46">
      <c r="A46" s="11" t="inlineStr">
        <is>
          <t>Inbound</t>
        </is>
      </c>
      <c r="B46" s="3" t="inlineStr">
        <is>
          <t>Strona internetowa medidesk</t>
        </is>
      </c>
      <c r="C46" s="12" t="inlineStr">
        <is>
          <t>Medidesk EDU szkolenia</t>
        </is>
      </c>
      <c r="D46" s="11" t="inlineStr">
        <is>
          <t>MLe bez konwersji na leada</t>
        </is>
      </c>
      <c r="E46" s="3" t="n"/>
      <c r="F46" s="3" t="n"/>
      <c r="G46" s="3" t="n">
        <v>2</v>
      </c>
      <c r="H46" s="3" t="n">
        <v>12</v>
      </c>
      <c r="I46" s="3" t="n">
        <v>6</v>
      </c>
      <c r="J46" s="3" t="n">
        <v>2</v>
      </c>
      <c r="K46" s="3" t="n">
        <v>1</v>
      </c>
      <c r="L46" s="3" t="n"/>
      <c r="M46" s="3" t="n"/>
      <c r="N46" s="3" t="n"/>
      <c r="O46" s="3" t="n"/>
    </row>
    <row r="47">
      <c r="A47" s="12" t="inlineStr">
        <is>
          <t>Inbound</t>
        </is>
      </c>
      <c r="B47" s="13" t="inlineStr">
        <is>
          <t>Strona internetowa medidesk</t>
        </is>
      </c>
      <c r="C47" s="12" t="inlineStr">
        <is>
          <t>Medidesk Kontakt EN</t>
        </is>
      </c>
      <c r="D47" s="12" t="inlineStr">
        <is>
          <t>Wszelkie Leady (włączając MLe po konwersji na Leada)</t>
        </is>
      </c>
      <c r="E47" s="3" t="n"/>
      <c r="F47" s="3" t="n"/>
      <c r="G47" s="3" t="n"/>
      <c r="H47" s="3" t="n">
        <v>26</v>
      </c>
      <c r="I47" s="3" t="n">
        <v>6</v>
      </c>
      <c r="J47" s="3" t="n">
        <v>4</v>
      </c>
      <c r="K47" s="3" t="n"/>
      <c r="L47" s="3" t="n"/>
      <c r="M47" s="3" t="n">
        <v>1</v>
      </c>
      <c r="N47" s="3" t="n"/>
      <c r="O47" s="3" t="n"/>
    </row>
    <row r="48">
      <c r="A48" s="11" t="inlineStr">
        <is>
          <t>Inbound</t>
        </is>
      </c>
      <c r="B48" s="3" t="inlineStr">
        <is>
          <t>Strona internetowa medidesk</t>
        </is>
      </c>
      <c r="C48" s="12" t="inlineStr">
        <is>
          <t>Medidesk Kontakt EN</t>
        </is>
      </c>
      <c r="D48" s="11" t="inlineStr">
        <is>
          <t>MLe bez konwersji na leada</t>
        </is>
      </c>
      <c r="E48" s="3" t="n"/>
      <c r="F48" s="3" t="n"/>
      <c r="G48" s="3" t="n">
        <v>2</v>
      </c>
      <c r="H48" s="3" t="n">
        <v>12</v>
      </c>
      <c r="I48" s="3" t="n">
        <v>6</v>
      </c>
      <c r="J48" s="3" t="n">
        <v>2</v>
      </c>
      <c r="K48" s="3" t="n">
        <v>1</v>
      </c>
      <c r="L48" s="3" t="n"/>
      <c r="M48" s="3" t="n"/>
      <c r="N48" s="3" t="n"/>
      <c r="O48" s="3" t="n"/>
    </row>
    <row r="49">
      <c r="A49" s="12" t="inlineStr">
        <is>
          <t>Inbound</t>
        </is>
      </c>
      <c r="B49" s="13" t="inlineStr">
        <is>
          <t>Strona internetowa medidesk</t>
        </is>
      </c>
      <c r="C49" s="12" t="inlineStr">
        <is>
          <t>Medidesk Kontakt PL</t>
        </is>
      </c>
      <c r="D49" s="12" t="inlineStr">
        <is>
          <t>Wszelkie Leady (włączając MLe po konwersji na Leada)</t>
        </is>
      </c>
      <c r="E49" s="3" t="n"/>
      <c r="F49" s="3" t="n"/>
      <c r="G49" s="3" t="n">
        <v>1</v>
      </c>
      <c r="H49" s="3" t="n">
        <v>26</v>
      </c>
      <c r="I49" s="3" t="n">
        <v>6</v>
      </c>
      <c r="J49" s="3" t="n">
        <v>4</v>
      </c>
      <c r="K49" s="3" t="n">
        <v>1</v>
      </c>
      <c r="L49" s="3" t="n">
        <v>1</v>
      </c>
      <c r="M49" s="3" t="n">
        <v>1</v>
      </c>
      <c r="N49" s="3" t="n"/>
      <c r="O49" s="3" t="n">
        <v>1</v>
      </c>
    </row>
    <row r="50">
      <c r="A50" s="11" t="inlineStr">
        <is>
          <t>Inbound</t>
        </is>
      </c>
      <c r="B50" s="3" t="inlineStr">
        <is>
          <t>Strona internetowa medidesk</t>
        </is>
      </c>
      <c r="C50" s="12" t="inlineStr">
        <is>
          <t>Medidesk Kontakt PL</t>
        </is>
      </c>
      <c r="D50" s="11" t="inlineStr">
        <is>
          <t>MLe bez konwersji na leada</t>
        </is>
      </c>
      <c r="E50" s="3" t="n">
        <v>1</v>
      </c>
      <c r="F50" s="3" t="n">
        <v>6</v>
      </c>
      <c r="G50" s="3" t="n">
        <v>2</v>
      </c>
      <c r="H50" s="3" t="n">
        <v>12</v>
      </c>
      <c r="I50" s="3" t="n">
        <v>6</v>
      </c>
      <c r="J50" s="3" t="n">
        <v>2</v>
      </c>
      <c r="K50" s="3" t="n">
        <v>1</v>
      </c>
      <c r="L50" s="3" t="n">
        <v>8</v>
      </c>
      <c r="M50" s="3" t="n">
        <v>7</v>
      </c>
      <c r="N50" s="3" t="n">
        <v>6</v>
      </c>
      <c r="O50" s="3" t="n">
        <v>1</v>
      </c>
    </row>
    <row r="51">
      <c r="A51" s="12" t="inlineStr">
        <is>
          <t>Inbound</t>
        </is>
      </c>
      <c r="B51" s="13" t="inlineStr">
        <is>
          <t>Pracownik polecający</t>
        </is>
      </c>
      <c r="C51" s="13" t="inlineStr">
        <is>
          <t>Michał Modzelewski</t>
        </is>
      </c>
      <c r="D51" s="12" t="inlineStr">
        <is>
          <t>Wszelkie Leady (włączając MLe po konwersji na Leada)</t>
        </is>
      </c>
      <c r="E51" s="3" t="n">
        <v>1</v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11" t="inlineStr">
        <is>
          <t>Inbound</t>
        </is>
      </c>
      <c r="B52" s="3" t="inlineStr">
        <is>
          <t>Polecenie</t>
        </is>
      </c>
      <c r="C52" s="12" t="inlineStr">
        <is>
          <t>Polecenie Partnera</t>
        </is>
      </c>
      <c r="D52" s="11" t="inlineStr">
        <is>
          <t>MLe bez konwersji na leada</t>
        </is>
      </c>
      <c r="E52" s="3" t="n"/>
      <c r="F52" s="3" t="n"/>
      <c r="G52" s="3" t="n"/>
      <c r="H52" s="3" t="n"/>
      <c r="I52" s="3" t="n"/>
      <c r="J52" s="3" t="n">
        <v>1</v>
      </c>
      <c r="K52" s="3" t="n"/>
      <c r="L52" s="3" t="n">
        <v>1</v>
      </c>
      <c r="M52" s="3" t="n">
        <v>124</v>
      </c>
      <c r="N52" s="3" t="n">
        <v>269</v>
      </c>
      <c r="O52" s="3" t="n"/>
    </row>
    <row r="53">
      <c r="A53" s="11" t="inlineStr">
        <is>
          <t>Outbound</t>
        </is>
      </c>
      <c r="B53" s="11" t="inlineStr">
        <is>
          <t>Scrapper</t>
        </is>
      </c>
      <c r="C53" s="12" t="inlineStr">
        <is>
          <t>Scrapper</t>
        </is>
      </c>
      <c r="D53" s="11" t="inlineStr">
        <is>
          <t>MLe bez konwersji na leada</t>
        </is>
      </c>
      <c r="E53" s="3" t="n"/>
      <c r="F53" s="3" t="n"/>
      <c r="G53" s="3" t="n"/>
      <c r="H53" s="3" t="n"/>
      <c r="I53" s="3" t="n"/>
      <c r="J53" s="3" t="n">
        <v>5</v>
      </c>
      <c r="K53" s="3" t="n"/>
      <c r="L53" s="3" t="n"/>
      <c r="M53" s="3" t="n"/>
      <c r="N53" s="3" t="n"/>
      <c r="O53" s="3" t="n"/>
    </row>
    <row r="54">
      <c r="A54" s="11" t="inlineStr">
        <is>
          <t>Inbound</t>
        </is>
      </c>
      <c r="B54" s="3" t="inlineStr">
        <is>
          <t>Strona internetowa medidesk</t>
        </is>
      </c>
      <c r="C54" s="12" t="inlineStr">
        <is>
          <t>SMS Campaign</t>
        </is>
      </c>
      <c r="D54" s="11" t="inlineStr">
        <is>
          <t>MLe bez konwersji na leada</t>
        </is>
      </c>
      <c r="E54" s="3" t="n"/>
      <c r="F54" s="3" t="n"/>
      <c r="G54" s="3" t="n">
        <v>2</v>
      </c>
      <c r="H54" s="3" t="n">
        <v>12</v>
      </c>
      <c r="I54" s="3" t="n">
        <v>6</v>
      </c>
      <c r="J54" s="3" t="n">
        <v>2</v>
      </c>
      <c r="K54" s="3" t="n">
        <v>1</v>
      </c>
      <c r="L54" s="3" t="n"/>
      <c r="M54" s="3" t="n"/>
      <c r="N54" s="3" t="n"/>
      <c r="O54" s="3" t="n">
        <v>1</v>
      </c>
    </row>
    <row r="55">
      <c r="A55" s="12" t="inlineStr">
        <is>
          <t>Inbound</t>
        </is>
      </c>
      <c r="B55" s="13" t="inlineStr">
        <is>
          <t>Strona internetowa medidesk</t>
        </is>
      </c>
      <c r="C55" s="12" t="inlineStr">
        <is>
          <t>Umów spotkanie</t>
        </is>
      </c>
      <c r="D55" s="12" t="inlineStr">
        <is>
          <t>Wszelkie Leady (włączając MLe po konwersji na Leada)</t>
        </is>
      </c>
      <c r="E55" s="3" t="n"/>
      <c r="F55" s="3" t="n">
        <v>4</v>
      </c>
      <c r="G55" s="3" t="n">
        <v>2</v>
      </c>
      <c r="H55" s="3" t="n">
        <v>5</v>
      </c>
      <c r="I55" s="3" t="n">
        <v>1</v>
      </c>
      <c r="J55" s="3" t="n">
        <v>3</v>
      </c>
      <c r="K55" s="3" t="n">
        <v>1</v>
      </c>
      <c r="L55" s="3" t="n">
        <v>8</v>
      </c>
      <c r="M55" s="3" t="n">
        <v>4</v>
      </c>
      <c r="N55" s="3" t="n">
        <v>5</v>
      </c>
      <c r="O55" s="3" t="n">
        <v>2</v>
      </c>
      <c r="P55" t="n">
        <v>7</v>
      </c>
    </row>
    <row r="56">
      <c r="A56" s="11" t="inlineStr">
        <is>
          <t>Inbound</t>
        </is>
      </c>
      <c r="B56" s="3" t="inlineStr">
        <is>
          <t>Strona internetowa medidesk</t>
        </is>
      </c>
      <c r="C56" s="12" t="inlineStr">
        <is>
          <t>Umów spotkanie</t>
        </is>
      </c>
      <c r="D56" s="11" t="inlineStr">
        <is>
          <t>MLe bez konwersji na leada</t>
        </is>
      </c>
      <c r="E56" s="3" t="n"/>
      <c r="F56" s="3" t="n"/>
      <c r="G56" s="3" t="n">
        <v>2</v>
      </c>
      <c r="H56" s="3" t="n">
        <v>2</v>
      </c>
      <c r="I56" s="3" t="n">
        <v>1</v>
      </c>
      <c r="J56" s="3" t="n">
        <v>1</v>
      </c>
      <c r="K56" s="3" t="n">
        <v>6</v>
      </c>
      <c r="L56" s="3" t="n">
        <v>1</v>
      </c>
      <c r="M56" s="3" t="n">
        <v>2</v>
      </c>
      <c r="N56" s="3" t="n">
        <v>3</v>
      </c>
      <c r="O56" s="3" t="n">
        <v>2</v>
      </c>
      <c r="P56" t="n">
        <v>6</v>
      </c>
    </row>
    <row r="57">
      <c r="A57" s="12" t="inlineStr">
        <is>
          <t>Inbound</t>
        </is>
      </c>
      <c r="B57" s="13" t="inlineStr">
        <is>
          <t>Facebook</t>
        </is>
      </c>
      <c r="C57" s="13" t="inlineStr">
        <is>
          <t>Umów spotkanie FB</t>
        </is>
      </c>
      <c r="D57" s="12" t="inlineStr">
        <is>
          <t>Wszelkie Leady (włączając MLe po konwersji na Leada)</t>
        </is>
      </c>
      <c r="E57" s="3" t="n"/>
      <c r="F57" s="3" t="n"/>
      <c r="G57" s="3" t="n"/>
      <c r="H57" s="3" t="n">
        <v>38</v>
      </c>
      <c r="I57" s="3" t="n">
        <v>10</v>
      </c>
      <c r="J57" s="3" t="n">
        <v>1</v>
      </c>
      <c r="K57" s="3" t="n">
        <v>12</v>
      </c>
      <c r="L57" s="3" t="n">
        <v>76</v>
      </c>
      <c r="M57" s="3" t="n">
        <v>40</v>
      </c>
      <c r="N57" s="3" t="n">
        <v>6</v>
      </c>
      <c r="O57" s="3" t="n"/>
    </row>
    <row r="58">
      <c r="A58" s="11" t="inlineStr">
        <is>
          <t>Inbound</t>
        </is>
      </c>
      <c r="B58" s="3" t="inlineStr">
        <is>
          <t>Facebook</t>
        </is>
      </c>
      <c r="C58" s="12" t="inlineStr">
        <is>
          <t>Umów spotkanie FB</t>
        </is>
      </c>
      <c r="D58" s="11" t="inlineStr">
        <is>
          <t>MLe bez konwersji na leada</t>
        </is>
      </c>
      <c r="E58" s="3" t="n"/>
      <c r="F58" s="3" t="n"/>
      <c r="G58" s="3" t="n"/>
      <c r="H58" s="3" t="n">
        <v>33</v>
      </c>
      <c r="I58" s="3" t="n">
        <v>127</v>
      </c>
      <c r="J58" s="3" t="n">
        <v>67</v>
      </c>
      <c r="K58" s="3" t="n">
        <v>116</v>
      </c>
      <c r="L58" s="3" t="n">
        <v>8</v>
      </c>
      <c r="M58" s="3" t="n">
        <v>2</v>
      </c>
      <c r="N58" s="3" t="n">
        <v>3</v>
      </c>
      <c r="O58" s="3" t="n">
        <v>2</v>
      </c>
    </row>
    <row r="59">
      <c r="A59" s="11" t="inlineStr">
        <is>
          <t>Inbound</t>
        </is>
      </c>
      <c r="B59" s="3" t="inlineStr">
        <is>
          <t>Strona internetowa medidesk</t>
        </is>
      </c>
      <c r="C59" s="12" t="inlineStr">
        <is>
          <t>Webinar Marafiki 20250409</t>
        </is>
      </c>
      <c r="D59" s="11" t="inlineStr">
        <is>
          <t>MLe bez konwersji na leada</t>
        </is>
      </c>
      <c r="E59" s="3" t="n"/>
      <c r="F59" s="3" t="n"/>
      <c r="G59" s="3" t="n">
        <v>2</v>
      </c>
      <c r="H59" s="3" t="n">
        <v>12</v>
      </c>
      <c r="I59" s="3" t="n">
        <v>6</v>
      </c>
      <c r="J59" s="3" t="n">
        <v>2</v>
      </c>
      <c r="K59" s="3" t="n">
        <v>1</v>
      </c>
      <c r="L59" s="3" t="n"/>
      <c r="M59" s="3" t="n"/>
      <c r="N59" s="3" t="n"/>
      <c r="O59" s="3" t="n"/>
    </row>
    <row r="60">
      <c r="A60" s="12" t="inlineStr">
        <is>
          <t>Outbound</t>
        </is>
      </c>
      <c r="B60" s="12" t="inlineStr">
        <is>
          <t>Akwizycja telefoniczna</t>
        </is>
      </c>
      <c r="C60" s="13" t="n"/>
      <c r="D60" s="12" t="inlineStr">
        <is>
          <t>Wszelkie Leady (włączając MLe po konwersji na Leada)</t>
        </is>
      </c>
      <c r="E60" s="3" t="n">
        <v>154</v>
      </c>
      <c r="F60" s="3" t="n">
        <v>177</v>
      </c>
      <c r="G60" s="3" t="n">
        <v>150</v>
      </c>
      <c r="H60" s="3" t="n">
        <v>430</v>
      </c>
      <c r="I60" s="3" t="n">
        <v>344</v>
      </c>
      <c r="J60" s="3" t="n">
        <v>78</v>
      </c>
      <c r="K60" s="3" t="n">
        <v>31</v>
      </c>
      <c r="L60" s="3" t="n">
        <v>5</v>
      </c>
      <c r="M60" s="3" t="n">
        <v>19</v>
      </c>
      <c r="N60" s="3" t="n">
        <v>9</v>
      </c>
      <c r="O60" s="3" t="n">
        <v>2</v>
      </c>
      <c r="P60" t="n">
        <v>20</v>
      </c>
    </row>
    <row r="61">
      <c r="A61" s="12" t="inlineStr">
        <is>
          <t>Outbound</t>
        </is>
      </c>
      <c r="B61" s="12" t="inlineStr">
        <is>
          <t>Akwizycja telefoniczna po webinarze</t>
        </is>
      </c>
      <c r="C61" s="14" t="n"/>
      <c r="D61" s="12" t="n"/>
      <c r="E61" s="3" t="n"/>
      <c r="F61" s="3" t="n">
        <v>1</v>
      </c>
      <c r="G61" s="3" t="n">
        <v>1</v>
      </c>
      <c r="H61" s="3" t="n">
        <v>2</v>
      </c>
      <c r="I61" s="3" t="n"/>
      <c r="J61" s="3" t="n">
        <v>2</v>
      </c>
      <c r="K61" s="3" t="n"/>
      <c r="L61" s="3" t="n"/>
      <c r="M61" s="3" t="n"/>
      <c r="N61" s="3" t="n"/>
      <c r="O61" s="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4"/>
  <sheetViews>
    <sheetView tabSelected="1" workbookViewId="0">
      <selection activeCell="M7" sqref="M7"/>
    </sheetView>
  </sheetViews>
  <sheetFormatPr baseColWidth="8" defaultRowHeight="14.5"/>
  <cols>
    <col width="23.6328125" bestFit="1" customWidth="1" min="2" max="2"/>
    <col width="23.6328125" customWidth="1" min="3" max="3"/>
    <col width="43.90625" customWidth="1" min="4" max="4"/>
  </cols>
  <sheetData>
    <row r="1">
      <c r="A1" s="3" t="n"/>
      <c r="B1" s="3" t="n"/>
      <c r="C1" s="3" t="n"/>
      <c r="D1" s="3" t="n"/>
      <c r="E1" s="3" t="inlineStr">
        <is>
          <t>Styczeń</t>
        </is>
      </c>
      <c r="F1" s="3" t="inlineStr">
        <is>
          <t>Luty</t>
        </is>
      </c>
      <c r="G1" s="3" t="inlineStr">
        <is>
          <t>Marzec</t>
        </is>
      </c>
      <c r="H1" s="3" t="inlineStr">
        <is>
          <t>Kwiecień</t>
        </is>
      </c>
      <c r="I1" s="3" t="inlineStr">
        <is>
          <t>Maj</t>
        </is>
      </c>
      <c r="J1" s="3" t="inlineStr">
        <is>
          <t>Czerwiec</t>
        </is>
      </c>
      <c r="K1" s="3" t="inlineStr">
        <is>
          <t>Lipiec</t>
        </is>
      </c>
      <c r="L1" s="3" t="inlineStr">
        <is>
          <t>Sierpień</t>
        </is>
      </c>
      <c r="M1" s="3" t="inlineStr">
        <is>
          <t>Wrzesień</t>
        </is>
      </c>
      <c r="N1" s="3" t="inlineStr">
        <is>
          <t>Październik</t>
        </is>
      </c>
      <c r="O1" s="3" t="inlineStr">
        <is>
          <t>Listopad</t>
        </is>
      </c>
      <c r="P1" s="3" t="inlineStr">
        <is>
          <t>Grudzień</t>
        </is>
      </c>
    </row>
    <row r="2">
      <c r="A2" s="17" t="inlineStr">
        <is>
          <t>Inbound</t>
        </is>
      </c>
      <c r="B2" s="3" t="inlineStr">
        <is>
          <t>Facebook</t>
        </is>
      </c>
      <c r="C2" s="3" t="inlineStr">
        <is>
          <t>OGÓŁEM</t>
        </is>
      </c>
      <c r="D2" s="3" t="inlineStr">
        <is>
          <t>EBook Trudny Pacjent</t>
        </is>
      </c>
      <c r="E2" s="3" t="n"/>
      <c r="F2" s="3" t="n"/>
      <c r="G2" s="3" t="n"/>
      <c r="H2" s="3" t="n">
        <v>33</v>
      </c>
      <c r="I2" s="3" t="n">
        <v>127</v>
      </c>
      <c r="J2" s="3" t="n">
        <v>67</v>
      </c>
      <c r="K2" s="3" t="n">
        <v>116</v>
      </c>
      <c r="L2" s="3" t="n">
        <v>8</v>
      </c>
      <c r="M2" s="3" t="n">
        <v>4</v>
      </c>
      <c r="N2" s="3" t="n"/>
      <c r="O2" s="3" t="n"/>
      <c r="Q2">
        <f>SUM(E2:P2)</f>
        <v/>
      </c>
    </row>
    <row r="3">
      <c r="A3" s="17" t="inlineStr">
        <is>
          <t>Inbound</t>
        </is>
      </c>
      <c r="B3" s="3" t="inlineStr">
        <is>
          <t>Facebook</t>
        </is>
      </c>
      <c r="C3" s="3" t="inlineStr">
        <is>
          <t>OGÓŁEM</t>
        </is>
      </c>
      <c r="D3" s="3" t="inlineStr">
        <is>
          <t>EBook Zmiany w prawie marketingu medycznego</t>
        </is>
      </c>
      <c r="E3" s="3" t="n"/>
      <c r="F3" s="3" t="n"/>
      <c r="G3" s="3" t="n"/>
      <c r="H3" s="3" t="n">
        <v>33</v>
      </c>
      <c r="I3" s="3" t="n">
        <v>127</v>
      </c>
      <c r="J3" s="3" t="n">
        <v>67</v>
      </c>
      <c r="K3" s="3" t="n">
        <v>116</v>
      </c>
      <c r="L3" s="3" t="n">
        <v>8</v>
      </c>
      <c r="M3" s="3" t="n">
        <v>48</v>
      </c>
      <c r="N3" s="3" t="n">
        <v>63</v>
      </c>
      <c r="O3" s="3" t="n">
        <v>27</v>
      </c>
      <c r="Q3">
        <f>SUM(E3:P3)</f>
        <v/>
      </c>
    </row>
    <row r="4">
      <c r="A4" s="17" t="inlineStr">
        <is>
          <t>Inbound</t>
        </is>
      </c>
      <c r="B4" s="3" t="inlineStr">
        <is>
          <t>Facebook</t>
        </is>
      </c>
      <c r="C4" s="3" t="inlineStr">
        <is>
          <t>OGÓŁEM</t>
        </is>
      </c>
      <c r="D4" s="3" t="inlineStr">
        <is>
          <t>EBook Zyskowna przychodnia - redukcja kosztów</t>
        </is>
      </c>
      <c r="E4" s="3" t="n"/>
      <c r="F4" s="3" t="n"/>
      <c r="G4" s="3" t="n"/>
      <c r="H4" s="3" t="n">
        <v>33</v>
      </c>
      <c r="I4" s="3" t="n">
        <v>127</v>
      </c>
      <c r="J4" s="3" t="n">
        <v>67</v>
      </c>
      <c r="K4" s="3" t="n">
        <v>116</v>
      </c>
      <c r="L4" s="3" t="n">
        <v>8</v>
      </c>
      <c r="M4" s="3" t="n">
        <v>23</v>
      </c>
      <c r="N4" s="3" t="n">
        <v>15</v>
      </c>
      <c r="O4" s="3" t="n">
        <v>8</v>
      </c>
      <c r="Q4">
        <f>SUM(E4:P4)</f>
        <v/>
      </c>
    </row>
    <row r="5">
      <c r="A5" s="17" t="inlineStr">
        <is>
          <t>Inbound</t>
        </is>
      </c>
      <c r="B5" s="3" t="inlineStr">
        <is>
          <t>Facebook</t>
        </is>
      </c>
      <c r="C5" s="3" t="inlineStr">
        <is>
          <t>OGÓŁEM</t>
        </is>
      </c>
      <c r="D5" s="3" t="inlineStr">
        <is>
          <t>Umów spotkanie FB</t>
        </is>
      </c>
      <c r="E5" s="3" t="n"/>
      <c r="F5" s="3" t="n"/>
      <c r="G5" s="3" t="n"/>
      <c r="H5" s="3" t="n">
        <v>33</v>
      </c>
      <c r="I5" s="3" t="n">
        <v>127</v>
      </c>
      <c r="J5" s="3" t="n">
        <v>67</v>
      </c>
      <c r="K5" s="3" t="n">
        <v>116</v>
      </c>
      <c r="L5" s="3" t="n">
        <v>8</v>
      </c>
      <c r="M5" s="3" t="n">
        <v>6</v>
      </c>
      <c r="N5" s="3" t="n">
        <v>9</v>
      </c>
      <c r="O5" s="3" t="n">
        <v>2</v>
      </c>
      <c r="Q5">
        <f>SUM(E5:P5)</f>
        <v/>
      </c>
    </row>
    <row r="6">
      <c r="A6" s="17" t="inlineStr">
        <is>
          <t>Inbound</t>
        </is>
      </c>
      <c r="B6" s="3" t="inlineStr">
        <is>
          <t>Facebook</t>
        </is>
      </c>
      <c r="C6" s="3" t="inlineStr">
        <is>
          <t>OGÓŁEM</t>
        </is>
      </c>
      <c r="D6" s="3" t="inlineStr">
        <is>
          <t>EBook Trudny Pacjent</t>
        </is>
      </c>
      <c r="E6" s="3" t="n"/>
      <c r="F6" s="3" t="n"/>
      <c r="G6" s="3" t="n"/>
      <c r="H6" s="3" t="n">
        <v>33</v>
      </c>
      <c r="I6" s="3" t="n">
        <v>127</v>
      </c>
      <c r="J6" s="3" t="n">
        <v>67</v>
      </c>
      <c r="K6" s="3" t="n">
        <v>116</v>
      </c>
      <c r="L6" s="3" t="n">
        <v>8</v>
      </c>
      <c r="M6" s="3" t="n"/>
      <c r="N6" s="3" t="n"/>
      <c r="O6" s="3" t="n"/>
      <c r="Q6">
        <f>SUM(E6:P6)</f>
        <v/>
      </c>
    </row>
    <row r="7">
      <c r="A7" s="17" t="inlineStr">
        <is>
          <t>Inbound</t>
        </is>
      </c>
      <c r="B7" s="3" t="inlineStr">
        <is>
          <t>Polecenie</t>
        </is>
      </c>
      <c r="C7" s="3" t="inlineStr">
        <is>
          <t>OGÓŁEM</t>
        </is>
      </c>
      <c r="D7" s="3" t="inlineStr">
        <is>
          <t>Polecenie Partnera</t>
        </is>
      </c>
      <c r="E7" s="3" t="n"/>
      <c r="F7" s="3" t="n"/>
      <c r="G7" s="3" t="n"/>
      <c r="H7" s="3" t="n"/>
      <c r="I7" s="3" t="n"/>
      <c r="J7" s="3" t="n">
        <v>1</v>
      </c>
      <c r="K7" s="3" t="n"/>
      <c r="L7" s="3" t="n">
        <v>1</v>
      </c>
      <c r="M7" s="3" t="n">
        <v>124</v>
      </c>
      <c r="N7" s="3" t="n">
        <v>269</v>
      </c>
      <c r="O7" s="3" t="n"/>
      <c r="Q7">
        <f>SUM(E7:P7)</f>
        <v/>
      </c>
    </row>
    <row r="8">
      <c r="A8" s="17" t="inlineStr">
        <is>
          <t>Inbound</t>
        </is>
      </c>
      <c r="B8" s="3" t="inlineStr">
        <is>
          <t>Strona internetowa medidesk</t>
        </is>
      </c>
      <c r="C8" s="3" t="inlineStr">
        <is>
          <t>OGÓŁEM</t>
        </is>
      </c>
      <c r="D8" s="11" t="inlineStr">
        <is>
          <t>Audyt Marketingowy 202503</t>
        </is>
      </c>
      <c r="E8" s="3" t="n"/>
      <c r="F8" s="3" t="n"/>
      <c r="G8" s="3" t="n">
        <v>2</v>
      </c>
      <c r="H8" s="3" t="n">
        <v>12</v>
      </c>
      <c r="I8" s="3" t="n">
        <v>6</v>
      </c>
      <c r="J8" s="3" t="n">
        <v>2</v>
      </c>
      <c r="K8" s="3" t="n">
        <v>1</v>
      </c>
      <c r="L8" s="3" t="n"/>
      <c r="M8" s="3" t="n"/>
      <c r="N8" s="3" t="n"/>
      <c r="O8" s="3" t="n"/>
      <c r="Q8">
        <f>SUM(E8:P8)</f>
        <v/>
      </c>
    </row>
    <row r="9">
      <c r="A9" s="17" t="inlineStr">
        <is>
          <t>Inbound</t>
        </is>
      </c>
      <c r="B9" s="3" t="inlineStr">
        <is>
          <t>Strona internetowa medidesk</t>
        </is>
      </c>
      <c r="C9" s="3" t="inlineStr">
        <is>
          <t>OGÓŁEM</t>
        </is>
      </c>
      <c r="D9" s="11" t="inlineStr">
        <is>
          <t>Audyt Tajemniczego Pacjenta 202503</t>
        </is>
      </c>
      <c r="E9" s="3" t="n"/>
      <c r="F9" s="3" t="n"/>
      <c r="G9" s="3" t="n">
        <v>2</v>
      </c>
      <c r="H9" s="3" t="n">
        <v>12</v>
      </c>
      <c r="I9" s="3" t="n">
        <v>6</v>
      </c>
      <c r="J9" s="3" t="n">
        <v>2</v>
      </c>
      <c r="K9" s="3" t="n">
        <v>1</v>
      </c>
      <c r="L9" s="3" t="n">
        <v>1</v>
      </c>
      <c r="M9" s="3" t="n">
        <v>1</v>
      </c>
      <c r="N9" s="3" t="n"/>
      <c r="O9" s="3" t="n"/>
      <c r="Q9">
        <f>SUM(E9:P9)</f>
        <v/>
      </c>
    </row>
    <row r="10">
      <c r="A10" s="17" t="inlineStr">
        <is>
          <t>Inbound</t>
        </is>
      </c>
      <c r="B10" s="3" t="inlineStr">
        <is>
          <t>Strona internetowa medidesk</t>
        </is>
      </c>
      <c r="C10" s="3" t="inlineStr">
        <is>
          <t>OGÓŁEM</t>
        </is>
      </c>
      <c r="D10" s="11" t="inlineStr">
        <is>
          <t>Integracja z Medfile</t>
        </is>
      </c>
      <c r="E10" s="3" t="n"/>
      <c r="F10" s="3" t="n"/>
      <c r="G10" s="3" t="n">
        <v>2</v>
      </c>
      <c r="H10" s="3" t="n">
        <v>12</v>
      </c>
      <c r="I10" s="3" t="n">
        <v>6</v>
      </c>
      <c r="J10" s="3" t="n">
        <v>2</v>
      </c>
      <c r="K10" s="3" t="n">
        <v>1</v>
      </c>
      <c r="L10" s="3" t="n"/>
      <c r="M10" s="3" t="n"/>
      <c r="N10" s="3" t="n">
        <v>6</v>
      </c>
      <c r="O10" s="3" t="n"/>
      <c r="Q10">
        <f>SUM(E10:P10)</f>
        <v/>
      </c>
    </row>
    <row r="11">
      <c r="A11" s="17" t="inlineStr">
        <is>
          <t>Inbound</t>
        </is>
      </c>
      <c r="B11" s="3" t="inlineStr">
        <is>
          <t>Strona internetowa medidesk</t>
        </is>
      </c>
      <c r="C11" s="3" t="inlineStr">
        <is>
          <t>OGÓŁEM</t>
        </is>
      </c>
      <c r="D11" s="11" t="inlineStr">
        <is>
          <t>Meddiesk 3.0</t>
        </is>
      </c>
      <c r="E11" s="3" t="n"/>
      <c r="F11" s="3" t="n"/>
      <c r="G11" s="3" t="n">
        <v>2</v>
      </c>
      <c r="H11" s="3" t="n">
        <v>12</v>
      </c>
      <c r="I11" s="3" t="n">
        <v>6</v>
      </c>
      <c r="J11" s="3" t="n">
        <v>2</v>
      </c>
      <c r="K11" s="3" t="n">
        <v>1</v>
      </c>
      <c r="L11" s="3" t="n">
        <v>4</v>
      </c>
      <c r="M11" s="3" t="n">
        <v>1</v>
      </c>
      <c r="N11" s="3" t="n">
        <v>2</v>
      </c>
      <c r="O11" s="3" t="n"/>
      <c r="Q11">
        <f>SUM(E11:P11)</f>
        <v/>
      </c>
    </row>
    <row r="12">
      <c r="A12" s="17" t="inlineStr">
        <is>
          <t>Inbound</t>
        </is>
      </c>
      <c r="B12" s="3" t="inlineStr">
        <is>
          <t>Strona internetowa medidesk</t>
        </is>
      </c>
      <c r="C12" s="3" t="inlineStr">
        <is>
          <t>OGÓŁEM</t>
        </is>
      </c>
      <c r="D12" s="11" t="inlineStr">
        <is>
          <t>Medidesk EDU szkolenia</t>
        </is>
      </c>
      <c r="E12" s="3" t="n"/>
      <c r="F12" s="3" t="n"/>
      <c r="G12" s="3" t="n">
        <v>2</v>
      </c>
      <c r="H12" s="3" t="n">
        <v>12</v>
      </c>
      <c r="I12" s="3" t="n">
        <v>6</v>
      </c>
      <c r="J12" s="3" t="n">
        <v>2</v>
      </c>
      <c r="K12" s="3" t="n">
        <v>1</v>
      </c>
      <c r="L12" s="3" t="n"/>
      <c r="M12" s="3" t="n"/>
      <c r="N12" s="3" t="n"/>
      <c r="O12" s="3" t="n"/>
      <c r="Q12">
        <f>SUM(E12:P12)</f>
        <v/>
      </c>
    </row>
    <row r="13">
      <c r="A13" s="17" t="inlineStr">
        <is>
          <t>Inbound</t>
        </is>
      </c>
      <c r="B13" s="3" t="inlineStr">
        <is>
          <t>Strona internetowa medidesk</t>
        </is>
      </c>
      <c r="C13" s="3" t="inlineStr">
        <is>
          <t>OGÓŁEM</t>
        </is>
      </c>
      <c r="D13" s="11" t="inlineStr">
        <is>
          <t>Medidesk Kontakt EN</t>
        </is>
      </c>
      <c r="E13" s="3" t="n"/>
      <c r="F13" s="3" t="n"/>
      <c r="G13" s="3" t="n">
        <v>2</v>
      </c>
      <c r="H13" s="3" t="n">
        <v>12</v>
      </c>
      <c r="I13" s="3" t="n">
        <v>6</v>
      </c>
      <c r="J13" s="3" t="n">
        <v>2</v>
      </c>
      <c r="K13" s="3" t="n">
        <v>1</v>
      </c>
      <c r="L13" s="3" t="n"/>
      <c r="M13" s="3" t="n">
        <v>1</v>
      </c>
      <c r="N13" s="3" t="n">
        <v>2</v>
      </c>
      <c r="O13" s="3" t="n"/>
      <c r="Q13">
        <f>SUM(E13:P13)</f>
        <v/>
      </c>
    </row>
    <row r="14">
      <c r="A14" s="17" t="inlineStr">
        <is>
          <t>Inbound</t>
        </is>
      </c>
      <c r="B14" s="3" t="inlineStr">
        <is>
          <t>Strona internetowa medidesk</t>
        </is>
      </c>
      <c r="C14" s="3" t="inlineStr">
        <is>
          <t>OGÓŁEM</t>
        </is>
      </c>
      <c r="D14" s="11" t="inlineStr">
        <is>
          <t>Medidesk Kontakt PL</t>
        </is>
      </c>
      <c r="E14" s="3" t="n">
        <v>2</v>
      </c>
      <c r="F14" s="3" t="n">
        <v>17</v>
      </c>
      <c r="G14" s="3" t="n">
        <v>2</v>
      </c>
      <c r="H14" s="3" t="n">
        <v>12</v>
      </c>
      <c r="I14" s="3" t="n">
        <v>6</v>
      </c>
      <c r="J14" s="3" t="n">
        <v>2</v>
      </c>
      <c r="K14" s="3" t="n">
        <v>1</v>
      </c>
      <c r="L14" s="3" t="n">
        <v>10</v>
      </c>
      <c r="M14" s="3" t="n">
        <v>9</v>
      </c>
      <c r="N14" s="3" t="n">
        <v>8</v>
      </c>
      <c r="O14" s="3" t="n">
        <v>1</v>
      </c>
      <c r="Q14">
        <f>SUM(E14:P14)</f>
        <v/>
      </c>
    </row>
    <row r="15">
      <c r="A15" s="17" t="inlineStr">
        <is>
          <t>Inbound</t>
        </is>
      </c>
      <c r="B15" s="3" t="inlineStr">
        <is>
          <t>Strona internetowa medidesk</t>
        </is>
      </c>
      <c r="C15" s="3" t="inlineStr">
        <is>
          <t>OGÓŁEM</t>
        </is>
      </c>
      <c r="D15" s="11" t="inlineStr">
        <is>
          <t>SMS Campaign</t>
        </is>
      </c>
      <c r="E15" s="3" t="n"/>
      <c r="F15" s="3" t="n"/>
      <c r="G15" s="3" t="n">
        <v>2</v>
      </c>
      <c r="H15" s="3" t="n">
        <v>12</v>
      </c>
      <c r="I15" s="3" t="n">
        <v>6</v>
      </c>
      <c r="J15" s="3" t="n">
        <v>2</v>
      </c>
      <c r="K15" s="3" t="n">
        <v>1</v>
      </c>
      <c r="L15" s="3" t="n"/>
      <c r="M15" s="3" t="n"/>
      <c r="N15" s="3" t="n"/>
      <c r="O15" s="3" t="n">
        <v>1</v>
      </c>
      <c r="Q15">
        <f>SUM(E15:P15)</f>
        <v/>
      </c>
    </row>
    <row r="16">
      <c r="A16" s="17" t="inlineStr">
        <is>
          <t>Inbound</t>
        </is>
      </c>
      <c r="B16" s="3" t="inlineStr">
        <is>
          <t>Strona internetowa medidesk</t>
        </is>
      </c>
      <c r="C16" s="3" t="inlineStr">
        <is>
          <t>OGÓŁEM</t>
        </is>
      </c>
      <c r="D16" s="11" t="inlineStr">
        <is>
          <t>Umów spotkanie</t>
        </is>
      </c>
      <c r="E16" s="3" t="n"/>
      <c r="F16" s="3" t="n">
        <v>3</v>
      </c>
      <c r="G16" s="3" t="n">
        <v>3</v>
      </c>
      <c r="H16" s="3" t="n">
        <v>10</v>
      </c>
      <c r="I16" s="3" t="n">
        <v>3</v>
      </c>
      <c r="J16" s="3" t="n">
        <v>7</v>
      </c>
      <c r="K16" s="3" t="n">
        <v>6</v>
      </c>
      <c r="L16" s="3" t="n">
        <v>1</v>
      </c>
      <c r="M16" s="3" t="n">
        <v>2</v>
      </c>
      <c r="N16" s="3" t="n">
        <v>3</v>
      </c>
      <c r="O16" s="3" t="n">
        <v>2</v>
      </c>
      <c r="P16" t="n">
        <v>6</v>
      </c>
      <c r="Q16">
        <f>SUM(E16:P16)</f>
        <v/>
      </c>
    </row>
    <row r="17">
      <c r="A17" s="17" t="inlineStr">
        <is>
          <t>Inbound</t>
        </is>
      </c>
      <c r="B17" s="3" t="inlineStr">
        <is>
          <t>Strona internetowa medidesk</t>
        </is>
      </c>
      <c r="C17" s="3" t="inlineStr">
        <is>
          <t>OGÓŁEM</t>
        </is>
      </c>
      <c r="D17" s="11" t="inlineStr">
        <is>
          <t>Webinar Marafiki 20250409</t>
        </is>
      </c>
      <c r="E17" s="3" t="n"/>
      <c r="F17" s="3" t="n"/>
      <c r="G17" s="3" t="n">
        <v>2</v>
      </c>
      <c r="H17" s="3" t="n">
        <v>12</v>
      </c>
      <c r="I17" s="3" t="n">
        <v>6</v>
      </c>
      <c r="J17" s="3" t="n">
        <v>2</v>
      </c>
      <c r="K17" s="3" t="n">
        <v>1</v>
      </c>
      <c r="L17" s="3" t="n"/>
      <c r="M17" s="3" t="n"/>
      <c r="N17" s="3" t="n"/>
      <c r="O17" s="3" t="n"/>
      <c r="Q17">
        <f>SUM(E17:P17)</f>
        <v/>
      </c>
    </row>
    <row r="18">
      <c r="A18" s="17" t="inlineStr">
        <is>
          <t>Inbound</t>
        </is>
      </c>
      <c r="B18" s="3" t="inlineStr">
        <is>
          <t>Webinar</t>
        </is>
      </c>
      <c r="C18" s="3" t="inlineStr">
        <is>
          <t>OGÓŁEM</t>
        </is>
      </c>
      <c r="D18" s="3" t="inlineStr">
        <is>
          <t>20250219 - AI w służbie zdrowia</t>
        </is>
      </c>
      <c r="E18" s="3" t="n"/>
      <c r="F18" s="3" t="n">
        <v>1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Q18">
        <f>SUM(E18:P18)</f>
        <v/>
      </c>
    </row>
    <row r="19">
      <c r="A19" s="17" t="inlineStr">
        <is>
          <t>Inbound</t>
        </is>
      </c>
      <c r="B19" s="3" t="inlineStr">
        <is>
          <t>Webinar</t>
        </is>
      </c>
      <c r="C19" s="3" t="inlineStr">
        <is>
          <t>OGÓŁEM</t>
        </is>
      </c>
      <c r="D19" s="3" t="inlineStr">
        <is>
          <t>20250612 - Chirurgiczny lejek online</t>
        </is>
      </c>
      <c r="E19" s="3" t="n"/>
      <c r="F19" s="3" t="n">
        <v>1</v>
      </c>
      <c r="G19" s="3" t="n"/>
      <c r="H19" s="3" t="n"/>
      <c r="I19" s="3" t="n"/>
      <c r="J19" s="3" t="n">
        <v>2</v>
      </c>
      <c r="K19" s="3" t="n"/>
      <c r="L19" s="3" t="n"/>
      <c r="M19" s="3" t="n"/>
      <c r="N19" s="3" t="n"/>
      <c r="O19" s="3" t="n"/>
      <c r="Q19">
        <f>SUM(E19:P19)</f>
        <v/>
      </c>
    </row>
    <row r="20">
      <c r="A20" s="17" t="inlineStr">
        <is>
          <t>Inbound</t>
        </is>
      </c>
      <c r="B20" s="3" t="inlineStr">
        <is>
          <t>Webinar</t>
        </is>
      </c>
      <c r="C20" s="3" t="inlineStr">
        <is>
          <t>OGÓŁEM</t>
        </is>
      </c>
      <c r="D20" s="3" t="inlineStr">
        <is>
          <t>20250612 - Chirurgiczny lejek online</t>
        </is>
      </c>
      <c r="E20" s="3" t="n"/>
      <c r="F20" s="3" t="n">
        <v>1</v>
      </c>
      <c r="G20" s="3" t="n"/>
      <c r="H20" s="3" t="n"/>
      <c r="I20" s="3" t="n"/>
      <c r="J20" s="3" t="n">
        <v>4</v>
      </c>
      <c r="K20" s="3" t="n"/>
      <c r="L20" s="3" t="n"/>
      <c r="M20" s="3" t="n"/>
      <c r="N20" s="3" t="n"/>
      <c r="O20" s="3" t="n"/>
      <c r="Q20">
        <f>SUM(E20:P20)</f>
        <v/>
      </c>
    </row>
    <row r="21">
      <c r="A21" s="17" t="inlineStr">
        <is>
          <t>Outbound</t>
        </is>
      </c>
      <c r="B21" s="11" t="inlineStr">
        <is>
          <t>Scrapper</t>
        </is>
      </c>
      <c r="C21" s="3" t="inlineStr">
        <is>
          <t>OGÓŁEM</t>
        </is>
      </c>
      <c r="D21" s="11" t="inlineStr">
        <is>
          <t>Scrapper</t>
        </is>
      </c>
      <c r="E21" s="3" t="n"/>
      <c r="F21" s="3" t="n"/>
      <c r="G21" s="3" t="n"/>
      <c r="H21" s="3" t="n"/>
      <c r="I21" s="3" t="n"/>
      <c r="J21" s="3" t="n">
        <v>6</v>
      </c>
      <c r="K21" s="3" t="n"/>
      <c r="L21" s="3" t="n"/>
      <c r="M21" s="3" t="n"/>
      <c r="N21" s="3" t="n">
        <v>1</v>
      </c>
      <c r="O21" s="3" t="n"/>
      <c r="Q21">
        <f>SUM(E21:P21)</f>
        <v/>
      </c>
    </row>
    <row r="22">
      <c r="E22">
        <f>SUM(E2:E21)</f>
        <v/>
      </c>
      <c r="F22">
        <f>SUM(F2:F21)</f>
        <v/>
      </c>
      <c r="G22">
        <f>SUM(G2:G21)</f>
        <v/>
      </c>
      <c r="H22">
        <f>SUM(H2:H21)</f>
        <v/>
      </c>
      <c r="I22">
        <f>SUM(I2:I21)</f>
        <v/>
      </c>
      <c r="J22">
        <f>SUM(J2:J21)</f>
        <v/>
      </c>
      <c r="K22">
        <f>SUM(K2:K21)</f>
        <v/>
      </c>
      <c r="L22">
        <f>SUM(L2:L21)</f>
        <v/>
      </c>
      <c r="M22">
        <f>SUM(M2:M21)</f>
        <v/>
      </c>
      <c r="N22">
        <f>SUM(N2:N21)</f>
        <v/>
      </c>
      <c r="O22">
        <f>SUM(O2:P21)</f>
        <v/>
      </c>
    </row>
    <row r="23"/>
    <row r="24"/>
    <row r="25">
      <c r="E25" s="3" t="inlineStr">
        <is>
          <t>Styczeń</t>
        </is>
      </c>
      <c r="F25" s="3" t="inlineStr">
        <is>
          <t>Luty</t>
        </is>
      </c>
      <c r="G25" s="3" t="inlineStr">
        <is>
          <t>Marzec</t>
        </is>
      </c>
      <c r="H25" s="3" t="inlineStr">
        <is>
          <t>Kwiecień</t>
        </is>
      </c>
      <c r="I25" s="3" t="inlineStr">
        <is>
          <t>Maj</t>
        </is>
      </c>
      <c r="J25" s="3" t="inlineStr">
        <is>
          <t>Czerwiec</t>
        </is>
      </c>
      <c r="K25" s="3" t="inlineStr">
        <is>
          <t>Lipiec</t>
        </is>
      </c>
      <c r="L25" s="3" t="inlineStr">
        <is>
          <t>Sierpień</t>
        </is>
      </c>
      <c r="M25" s="3" t="inlineStr">
        <is>
          <t>Wrzesień</t>
        </is>
      </c>
      <c r="N25" s="3" t="inlineStr">
        <is>
          <t>Październik</t>
        </is>
      </c>
      <c r="O25" s="3" t="inlineStr">
        <is>
          <t>Listopad</t>
        </is>
      </c>
    </row>
    <row r="26">
      <c r="A26" s="17" t="inlineStr">
        <is>
          <t>Inbound</t>
        </is>
      </c>
      <c r="B26" s="3" t="inlineStr">
        <is>
          <t>Facebook</t>
        </is>
      </c>
      <c r="C26" s="3" t="inlineStr">
        <is>
          <t>bez leada</t>
        </is>
      </c>
      <c r="D26" s="3" t="inlineStr">
        <is>
          <t>EBook Trudny Pacjent</t>
        </is>
      </c>
      <c r="E26" s="3" t="n"/>
      <c r="F26" s="3" t="n"/>
      <c r="G26" s="3" t="n"/>
      <c r="H26" s="3" t="n">
        <v>33</v>
      </c>
      <c r="I26" s="3" t="n">
        <v>127</v>
      </c>
      <c r="J26" s="3" t="n">
        <v>67</v>
      </c>
      <c r="K26" s="3" t="n">
        <v>116</v>
      </c>
      <c r="L26" s="3" t="n">
        <v>8</v>
      </c>
      <c r="M26" s="3" t="n"/>
      <c r="N26" s="3" t="n"/>
      <c r="O26" s="3" t="n"/>
      <c r="Q26">
        <f>SUM(E26:P26)</f>
        <v/>
      </c>
    </row>
    <row r="27">
      <c r="A27" s="17" t="inlineStr">
        <is>
          <t>Inbound</t>
        </is>
      </c>
      <c r="B27" s="3" t="inlineStr">
        <is>
          <t>Facebook</t>
        </is>
      </c>
      <c r="C27" s="3" t="inlineStr">
        <is>
          <t>bez leada</t>
        </is>
      </c>
      <c r="D27" s="3" t="inlineStr">
        <is>
          <t>EBook Zmiany w prawie marketingu medycznego</t>
        </is>
      </c>
      <c r="E27" s="3" t="n"/>
      <c r="F27" s="3" t="n"/>
      <c r="G27" s="3" t="n"/>
      <c r="H27" s="3" t="n"/>
      <c r="I27" s="3" t="n">
        <v>41</v>
      </c>
      <c r="J27" s="3" t="n">
        <v>85</v>
      </c>
      <c r="K27" s="3" t="n">
        <v>124</v>
      </c>
      <c r="L27" s="3" t="n">
        <v>11</v>
      </c>
      <c r="M27" s="3" t="n">
        <v>10</v>
      </c>
      <c r="N27" s="3" t="n">
        <v>27</v>
      </c>
      <c r="O27" s="3" t="n">
        <v>68</v>
      </c>
      <c r="P27" t="n">
        <v>61</v>
      </c>
      <c r="Q27">
        <f>SUM(E27:P27)</f>
        <v/>
      </c>
    </row>
    <row r="28">
      <c r="A28" s="17" t="inlineStr">
        <is>
          <t>Inbound</t>
        </is>
      </c>
      <c r="B28" s="3" t="inlineStr">
        <is>
          <t>Facebook</t>
        </is>
      </c>
      <c r="C28" s="3" t="inlineStr">
        <is>
          <t>bez leada</t>
        </is>
      </c>
      <c r="D28" s="3" t="inlineStr">
        <is>
          <t>EBook Zyskowna przychodnia - redukcja kosztów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>
        <v>4</v>
      </c>
      <c r="N28" s="3" t="n">
        <v>4</v>
      </c>
      <c r="O28" s="3" t="n">
        <v>9</v>
      </c>
      <c r="Q28">
        <f>SUM(E28:P28)</f>
        <v/>
      </c>
    </row>
    <row r="29">
      <c r="A29" s="17" t="inlineStr">
        <is>
          <t>Inbound</t>
        </is>
      </c>
      <c r="B29" s="3" t="inlineStr">
        <is>
          <t>Facebook</t>
        </is>
      </c>
      <c r="C29" s="3" t="inlineStr">
        <is>
          <t>bez leada</t>
        </is>
      </c>
      <c r="D29" s="3" t="inlineStr">
        <is>
          <t>Umów spotkanie FB</t>
        </is>
      </c>
      <c r="E29" s="3" t="n"/>
      <c r="F29" s="3" t="n"/>
      <c r="G29" s="3" t="n"/>
      <c r="H29" s="3" t="n"/>
      <c r="I29" s="3" t="n"/>
      <c r="J29" s="3" t="n"/>
      <c r="K29" s="3" t="n">
        <v>6</v>
      </c>
      <c r="L29" s="3" t="n">
        <v>1</v>
      </c>
      <c r="M29" s="3" t="n">
        <v>2</v>
      </c>
      <c r="N29" s="3" t="n">
        <v>3</v>
      </c>
      <c r="O29" s="3" t="n">
        <v>2</v>
      </c>
      <c r="P29" t="n">
        <v>6</v>
      </c>
      <c r="Q29">
        <f>SUM(E29:P29)</f>
        <v/>
      </c>
    </row>
    <row r="30">
      <c r="A30" s="17" t="inlineStr">
        <is>
          <t>Inbound</t>
        </is>
      </c>
      <c r="B30" s="3" t="inlineStr">
        <is>
          <t>Facebook</t>
        </is>
      </c>
      <c r="C30" s="3" t="inlineStr">
        <is>
          <t>bez leada</t>
        </is>
      </c>
      <c r="D30" s="3" t="inlineStr">
        <is>
          <t>EBook Trudny Pacjent</t>
        </is>
      </c>
      <c r="E30" s="3" t="n"/>
      <c r="F30" s="3" t="n"/>
      <c r="G30" s="3" t="n"/>
      <c r="H30" s="3" t="n">
        <v>33</v>
      </c>
      <c r="I30" s="3" t="n">
        <v>127</v>
      </c>
      <c r="J30" s="3" t="n">
        <v>67</v>
      </c>
      <c r="K30" s="3" t="n">
        <v>116</v>
      </c>
      <c r="L30" s="3" t="n">
        <v>8</v>
      </c>
      <c r="M30" s="3" t="n"/>
      <c r="N30" s="3" t="n"/>
      <c r="O30" s="3" t="n"/>
      <c r="Q30">
        <f>SUM(E30:P30)</f>
        <v/>
      </c>
    </row>
    <row r="31">
      <c r="A31" s="17" t="inlineStr">
        <is>
          <t>Inbound</t>
        </is>
      </c>
      <c r="B31" s="3" t="inlineStr">
        <is>
          <t>Polecenie</t>
        </is>
      </c>
      <c r="C31" s="3" t="inlineStr">
        <is>
          <t>bez leada</t>
        </is>
      </c>
      <c r="D31" s="3" t="inlineStr">
        <is>
          <t>Polecenie Partnera</t>
        </is>
      </c>
      <c r="E31" s="3" t="n"/>
      <c r="F31" s="3" t="n"/>
      <c r="G31" s="3" t="n"/>
      <c r="H31" s="3" t="n"/>
      <c r="I31" s="3" t="n"/>
      <c r="J31" s="3" t="n">
        <v>1</v>
      </c>
      <c r="K31" s="3" t="n"/>
      <c r="L31" s="3" t="n">
        <v>1</v>
      </c>
      <c r="M31" s="3" t="n">
        <v>125</v>
      </c>
      <c r="N31" s="3" t="n">
        <v>270</v>
      </c>
      <c r="O31" s="3" t="n"/>
      <c r="Q31">
        <f>SUM(E31:P31)</f>
        <v/>
      </c>
    </row>
    <row r="32">
      <c r="A32" s="17" t="inlineStr">
        <is>
          <t>Inbound</t>
        </is>
      </c>
      <c r="B32" s="3" t="inlineStr">
        <is>
          <t>Strona internetowa medidesk</t>
        </is>
      </c>
      <c r="C32" s="3" t="inlineStr">
        <is>
          <t>bez leada</t>
        </is>
      </c>
      <c r="D32" s="11" t="inlineStr">
        <is>
          <t>Audyt Marketingowy 202503</t>
        </is>
      </c>
      <c r="E32" s="3" t="n"/>
      <c r="F32" s="3" t="n"/>
      <c r="G32" s="3" t="n">
        <v>2</v>
      </c>
      <c r="H32" s="3" t="n">
        <v>12</v>
      </c>
      <c r="I32" s="3" t="n">
        <v>6</v>
      </c>
      <c r="J32" s="3" t="n">
        <v>2</v>
      </c>
      <c r="K32" s="3" t="n">
        <v>1</v>
      </c>
      <c r="L32" s="3" t="n"/>
      <c r="M32" s="3" t="n"/>
      <c r="N32" s="3" t="n"/>
      <c r="O32" s="3" t="n"/>
      <c r="Q32">
        <f>SUM(E32:P32)</f>
        <v/>
      </c>
    </row>
    <row r="33">
      <c r="A33" s="17" t="inlineStr">
        <is>
          <t>Inbound</t>
        </is>
      </c>
      <c r="B33" s="3" t="inlineStr">
        <is>
          <t>Strona internetowa medidesk</t>
        </is>
      </c>
      <c r="C33" s="3" t="inlineStr">
        <is>
          <t>bez leada</t>
        </is>
      </c>
      <c r="D33" s="11" t="inlineStr">
        <is>
          <t>Audyt Tajemniczego Pacjenta 202503</t>
        </is>
      </c>
      <c r="E33" s="3" t="n"/>
      <c r="F33" s="3" t="n"/>
      <c r="G33" s="3" t="n"/>
      <c r="H33" s="3" t="n">
        <v>3</v>
      </c>
      <c r="I33" s="3" t="n">
        <v>2</v>
      </c>
      <c r="J33" s="3" t="n">
        <v>1</v>
      </c>
      <c r="K33" s="3" t="n">
        <v>2</v>
      </c>
      <c r="L33" s="3" t="n"/>
      <c r="M33" s="3" t="n"/>
      <c r="N33" s="3" t="n"/>
      <c r="O33" s="3" t="n">
        <v>2</v>
      </c>
      <c r="P33" t="n">
        <v>4</v>
      </c>
      <c r="Q33">
        <f>SUM(E33:P33)</f>
        <v/>
      </c>
    </row>
    <row r="34">
      <c r="A34" s="17" t="inlineStr">
        <is>
          <t>Inbound</t>
        </is>
      </c>
      <c r="B34" s="3" t="inlineStr">
        <is>
          <t>Strona internetowa medidesk</t>
        </is>
      </c>
      <c r="C34" s="3" t="inlineStr">
        <is>
          <t>bez leada</t>
        </is>
      </c>
      <c r="D34" s="11" t="inlineStr">
        <is>
          <t>Integracja z Medfile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>
        <v>6</v>
      </c>
      <c r="O34" s="3" t="n"/>
      <c r="Q34">
        <f>SUM(E34:P34)</f>
        <v/>
      </c>
    </row>
    <row r="35">
      <c r="A35" s="17" t="inlineStr">
        <is>
          <t>Inbound</t>
        </is>
      </c>
      <c r="B35" s="3" t="inlineStr">
        <is>
          <t>Strona internetowa medidesk</t>
        </is>
      </c>
      <c r="C35" s="3" t="inlineStr">
        <is>
          <t>bez leada</t>
        </is>
      </c>
      <c r="D35" s="11" t="inlineStr">
        <is>
          <t>Meddiesk 3.0</t>
        </is>
      </c>
      <c r="E35" s="3" t="n"/>
      <c r="F35" s="3" t="n"/>
      <c r="G35" s="3" t="n"/>
      <c r="H35" s="3" t="n"/>
      <c r="I35" s="3" t="n"/>
      <c r="J35" s="3" t="n">
        <v>5</v>
      </c>
      <c r="K35" s="3" t="n">
        <v>6</v>
      </c>
      <c r="L35" s="3" t="n">
        <v>1</v>
      </c>
      <c r="M35" s="3" t="n">
        <v>1</v>
      </c>
      <c r="N35" s="3" t="n"/>
      <c r="O35" s="3" t="n"/>
      <c r="Q35">
        <f>SUM(E35:P35)</f>
        <v/>
      </c>
    </row>
    <row r="36">
      <c r="A36" s="17" t="inlineStr">
        <is>
          <t>Inbound</t>
        </is>
      </c>
      <c r="B36" s="3" t="inlineStr">
        <is>
          <t>Strona internetowa medidesk</t>
        </is>
      </c>
      <c r="C36" s="3" t="inlineStr">
        <is>
          <t>bez leada</t>
        </is>
      </c>
      <c r="D36" s="11" t="inlineStr">
        <is>
          <t>Medidesk EDU szkolenia</t>
        </is>
      </c>
      <c r="E36" s="3" t="n"/>
      <c r="F36" s="3" t="n"/>
      <c r="G36" s="3" t="n">
        <v>1</v>
      </c>
      <c r="H36" s="3" t="n"/>
      <c r="I36" s="3" t="n"/>
      <c r="J36" s="3" t="n"/>
      <c r="K36" s="3" t="n"/>
      <c r="L36" s="3" t="n"/>
      <c r="M36" s="3" t="n"/>
      <c r="N36" s="3" t="n"/>
      <c r="O36" s="3" t="n"/>
      <c r="Q36">
        <f>SUM(E36:P36)</f>
        <v/>
      </c>
    </row>
    <row r="37">
      <c r="A37" s="17" t="inlineStr">
        <is>
          <t>Inbound</t>
        </is>
      </c>
      <c r="B37" s="3" t="inlineStr">
        <is>
          <t>Strona internetowa medidesk</t>
        </is>
      </c>
      <c r="C37" s="3" t="inlineStr">
        <is>
          <t>bez leada</t>
        </is>
      </c>
      <c r="D37" s="11" t="inlineStr">
        <is>
          <t>Medidesk Kontakt EN</t>
        </is>
      </c>
      <c r="E37" s="3" t="n"/>
      <c r="F37" s="3" t="n"/>
      <c r="G37" s="3" t="n">
        <v>1</v>
      </c>
      <c r="H37" s="3" t="n"/>
      <c r="I37" s="3" t="n"/>
      <c r="J37" s="3" t="n">
        <v>1</v>
      </c>
      <c r="K37" s="3" t="n"/>
      <c r="L37" s="3" t="n"/>
      <c r="M37" s="3" t="n">
        <v>1</v>
      </c>
      <c r="N37" s="3" t="n">
        <v>2</v>
      </c>
      <c r="O37" s="3" t="n"/>
      <c r="Q37">
        <f>SUM(E37:P37)</f>
        <v/>
      </c>
    </row>
    <row r="38">
      <c r="A38" s="17" t="inlineStr">
        <is>
          <t>Inbound</t>
        </is>
      </c>
      <c r="B38" s="3" t="inlineStr">
        <is>
          <t>Strona internetowa medidesk</t>
        </is>
      </c>
      <c r="C38" s="3" t="inlineStr">
        <is>
          <t>bez leada</t>
        </is>
      </c>
      <c r="D38" s="11" t="inlineStr">
        <is>
          <t>Medidesk Kontakt PL</t>
        </is>
      </c>
      <c r="E38" s="3" t="n">
        <v>1</v>
      </c>
      <c r="F38" s="3" t="n">
        <v>1</v>
      </c>
      <c r="G38" s="3" t="n">
        <v>3</v>
      </c>
      <c r="H38" s="3" t="n">
        <v>3</v>
      </c>
      <c r="I38" s="3" t="n">
        <v>2</v>
      </c>
      <c r="J38" s="3" t="n">
        <v>4</v>
      </c>
      <c r="K38" s="3" t="n">
        <v>9</v>
      </c>
      <c r="L38" s="3" t="n">
        <v>8</v>
      </c>
      <c r="M38" s="3" t="n">
        <v>7</v>
      </c>
      <c r="N38" s="3" t="n">
        <v>6</v>
      </c>
      <c r="O38" s="3" t="n">
        <v>1</v>
      </c>
      <c r="P38" t="n">
        <v>2</v>
      </c>
      <c r="Q38">
        <f>SUM(E38:P38)</f>
        <v/>
      </c>
    </row>
    <row r="39">
      <c r="A39" s="17" t="inlineStr">
        <is>
          <t>Inbound</t>
        </is>
      </c>
      <c r="B39" s="3" t="inlineStr">
        <is>
          <t>Strona internetowa medidesk</t>
        </is>
      </c>
      <c r="C39" s="3" t="inlineStr">
        <is>
          <t>bez leada</t>
        </is>
      </c>
      <c r="D39" s="11" t="inlineStr">
        <is>
          <t>SMS Campaign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>
        <v>1</v>
      </c>
      <c r="Q39">
        <f>SUM(E39:P39)</f>
        <v/>
      </c>
    </row>
    <row r="40">
      <c r="A40" s="17" t="inlineStr">
        <is>
          <t>Inbound</t>
        </is>
      </c>
      <c r="B40" s="3" t="inlineStr">
        <is>
          <t>Strona internetowa medidesk</t>
        </is>
      </c>
      <c r="C40" s="3" t="inlineStr">
        <is>
          <t>bez leada</t>
        </is>
      </c>
      <c r="D40" s="11" t="inlineStr">
        <is>
          <t>Umów spotkanie</t>
        </is>
      </c>
      <c r="E40" s="3" t="n"/>
      <c r="F40" s="3" t="n">
        <v>5</v>
      </c>
      <c r="G40" s="3" t="n">
        <v>5</v>
      </c>
      <c r="H40" s="3" t="n">
        <v>2</v>
      </c>
      <c r="I40" s="3" t="n">
        <v>1</v>
      </c>
      <c r="J40" s="3" t="n">
        <v>1</v>
      </c>
      <c r="K40" s="3" t="n">
        <v>4</v>
      </c>
      <c r="L40" s="3" t="n">
        <v>3</v>
      </c>
      <c r="M40" s="3" t="n">
        <v>2</v>
      </c>
      <c r="N40" s="3" t="n">
        <v>2</v>
      </c>
      <c r="O40" s="3" t="n">
        <v>2</v>
      </c>
      <c r="P40" t="n">
        <v>2</v>
      </c>
      <c r="Q40">
        <f>SUM(E40:P40)</f>
        <v/>
      </c>
    </row>
    <row r="41">
      <c r="A41" s="17" t="inlineStr">
        <is>
          <t>Inbound</t>
        </is>
      </c>
      <c r="B41" s="3" t="inlineStr">
        <is>
          <t>Strona internetowa medidesk</t>
        </is>
      </c>
      <c r="C41" s="3" t="inlineStr">
        <is>
          <t>bez leada</t>
        </is>
      </c>
      <c r="D41" s="11" t="inlineStr">
        <is>
          <t>Webinar Marafiki 20250409</t>
        </is>
      </c>
      <c r="E41" s="3" t="n"/>
      <c r="F41" s="3" t="n"/>
      <c r="G41" s="3" t="n">
        <v>1</v>
      </c>
      <c r="H41" s="3" t="n"/>
      <c r="I41" s="3" t="n"/>
      <c r="J41" s="3" t="n"/>
      <c r="K41" s="3" t="n"/>
      <c r="L41" s="3" t="n"/>
      <c r="M41" s="3" t="n"/>
      <c r="N41" s="3" t="n"/>
      <c r="O41" s="3" t="n"/>
      <c r="Q41">
        <f>SUM(E41:P41)</f>
        <v/>
      </c>
    </row>
    <row r="42">
      <c r="A42" s="17" t="inlineStr">
        <is>
          <t>Inbound</t>
        </is>
      </c>
      <c r="B42" s="3" t="inlineStr">
        <is>
          <t>Webinar</t>
        </is>
      </c>
      <c r="C42" s="3" t="inlineStr">
        <is>
          <t>bez leada</t>
        </is>
      </c>
      <c r="D42" s="3" t="inlineStr">
        <is>
          <t>20250219 - AI w służbie zdrowia</t>
        </is>
      </c>
      <c r="E42" s="3" t="n"/>
      <c r="F42" s="3" t="n">
        <v>1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Q42">
        <f>SUM(E42:P42)</f>
        <v/>
      </c>
    </row>
    <row r="43">
      <c r="A43" s="17" t="inlineStr">
        <is>
          <t>Inbound</t>
        </is>
      </c>
      <c r="B43" s="3" t="inlineStr">
        <is>
          <t>Webinar</t>
        </is>
      </c>
      <c r="C43" s="3" t="inlineStr">
        <is>
          <t>bez leada</t>
        </is>
      </c>
      <c r="D43" s="3" t="inlineStr">
        <is>
          <t>20250612 - Chirurgiczny lejek online</t>
        </is>
      </c>
      <c r="E43" s="3" t="n"/>
      <c r="F43" s="3" t="n"/>
      <c r="G43" s="3" t="n"/>
      <c r="H43" s="3" t="n"/>
      <c r="I43" s="3" t="n"/>
      <c r="J43" s="3" t="n">
        <v>5</v>
      </c>
      <c r="K43" s="3" t="n"/>
      <c r="L43" s="3" t="n"/>
      <c r="M43" s="3" t="n"/>
      <c r="N43" s="3" t="n"/>
      <c r="O43" s="3" t="n"/>
      <c r="Q43">
        <f>SUM(E43:P43)</f>
        <v/>
      </c>
    </row>
    <row r="44">
      <c r="A44" s="17" t="inlineStr">
        <is>
          <t>Outbound</t>
        </is>
      </c>
      <c r="B44" s="11" t="inlineStr">
        <is>
          <t>Scrapper</t>
        </is>
      </c>
      <c r="C44" s="3" t="inlineStr">
        <is>
          <t>bez leada</t>
        </is>
      </c>
      <c r="D44" s="11" t="inlineStr">
        <is>
          <t>Scrapper</t>
        </is>
      </c>
      <c r="E44" s="3" t="n"/>
      <c r="F44" s="3" t="n"/>
      <c r="G44" s="3" t="n"/>
      <c r="H44" s="3" t="n"/>
      <c r="I44" s="3" t="n"/>
      <c r="J44" s="3" t="n">
        <v>5</v>
      </c>
      <c r="K44" s="3" t="n"/>
      <c r="L44" s="3" t="n"/>
      <c r="M44" s="3" t="n"/>
      <c r="N44" s="3" t="n"/>
      <c r="O44" s="3" t="n"/>
      <c r="Q44">
        <f>SUM(E44:P44)</f>
        <v/>
      </c>
    </row>
    <row r="45"/>
    <row r="46"/>
    <row r="47">
      <c r="E47" s="3" t="inlineStr">
        <is>
          <t>Styczeń</t>
        </is>
      </c>
      <c r="F47" s="3" t="inlineStr">
        <is>
          <t>Luty</t>
        </is>
      </c>
      <c r="G47" s="3" t="inlineStr">
        <is>
          <t>Marzec</t>
        </is>
      </c>
      <c r="H47" s="3" t="inlineStr">
        <is>
          <t>Kwiecień</t>
        </is>
      </c>
      <c r="I47" s="3" t="inlineStr">
        <is>
          <t>Maj</t>
        </is>
      </c>
      <c r="J47" s="3" t="inlineStr">
        <is>
          <t>Czerwiec</t>
        </is>
      </c>
      <c r="K47" s="3" t="inlineStr">
        <is>
          <t>Lipiec</t>
        </is>
      </c>
      <c r="L47" s="3" t="inlineStr">
        <is>
          <t>Sierpień</t>
        </is>
      </c>
      <c r="M47" s="3" t="inlineStr">
        <is>
          <t>Wrzesień</t>
        </is>
      </c>
      <c r="N47" s="3" t="inlineStr">
        <is>
          <t>Październik</t>
        </is>
      </c>
      <c r="O47" s="3" t="inlineStr">
        <is>
          <t>Listopad</t>
        </is>
      </c>
    </row>
    <row r="48">
      <c r="A48" s="17" t="inlineStr">
        <is>
          <t>Inbound</t>
        </is>
      </c>
      <c r="B48" s="3" t="inlineStr">
        <is>
          <t>Facebook</t>
        </is>
      </c>
      <c r="C48" s="3" t="inlineStr">
        <is>
          <t>z leadem</t>
        </is>
      </c>
      <c r="D48" s="3" t="inlineStr">
        <is>
          <t>EBook Trudny Pacjent</t>
        </is>
      </c>
      <c r="E48" s="3" t="n"/>
      <c r="F48" s="3" t="n"/>
      <c r="G48" s="3" t="n"/>
      <c r="H48" s="3" t="n">
        <v>33</v>
      </c>
      <c r="I48" s="3" t="n">
        <v>127</v>
      </c>
      <c r="J48" s="3" t="n">
        <v>67</v>
      </c>
      <c r="K48" s="3" t="n">
        <v>116</v>
      </c>
      <c r="L48" s="3" t="n">
        <v>8</v>
      </c>
      <c r="M48" s="3" t="n">
        <v>4</v>
      </c>
      <c r="N48" s="3" t="n"/>
      <c r="O48" s="3" t="n"/>
    </row>
    <row r="49">
      <c r="A49" s="17" t="inlineStr">
        <is>
          <t>Inbound</t>
        </is>
      </c>
      <c r="B49" s="3" t="inlineStr">
        <is>
          <t>Facebook</t>
        </is>
      </c>
      <c r="C49" s="3" t="inlineStr">
        <is>
          <t>z leadem</t>
        </is>
      </c>
      <c r="D49" s="3" t="inlineStr">
        <is>
          <t>EBook Zmiany w prawie marketingu medycznego</t>
        </is>
      </c>
      <c r="E49" s="3" t="n"/>
      <c r="F49" s="3" t="n"/>
      <c r="G49" s="3" t="n"/>
      <c r="H49" s="3" t="n"/>
      <c r="I49" s="3" t="n">
        <v>41</v>
      </c>
      <c r="J49" s="3" t="n">
        <v>85</v>
      </c>
      <c r="K49" s="3" t="n">
        <v>124</v>
      </c>
      <c r="L49" s="3" t="n">
        <v>11</v>
      </c>
      <c r="M49" s="3" t="n">
        <v>10</v>
      </c>
      <c r="N49" s="3" t="n">
        <v>27</v>
      </c>
      <c r="O49" s="3" t="n">
        <v>68</v>
      </c>
      <c r="P49" t="n">
        <v>61</v>
      </c>
    </row>
    <row r="50">
      <c r="A50" s="17" t="inlineStr">
        <is>
          <t>Inbound</t>
        </is>
      </c>
      <c r="B50" s="3" t="inlineStr">
        <is>
          <t>Facebook</t>
        </is>
      </c>
      <c r="C50" s="3" t="inlineStr">
        <is>
          <t>z leadem</t>
        </is>
      </c>
      <c r="D50" s="3" t="inlineStr">
        <is>
          <t>EBook Zyskowna przychodnia - redukcja kosztów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>
        <v>4</v>
      </c>
      <c r="N50" s="3" t="n">
        <v>4</v>
      </c>
      <c r="O50" s="3" t="n">
        <v>9</v>
      </c>
    </row>
    <row r="51">
      <c r="A51" s="17" t="inlineStr">
        <is>
          <t>Inbound</t>
        </is>
      </c>
      <c r="B51" s="3" t="inlineStr">
        <is>
          <t>Facebook</t>
        </is>
      </c>
      <c r="C51" s="3" t="inlineStr">
        <is>
          <t>z leadem</t>
        </is>
      </c>
      <c r="D51" s="3" t="inlineStr">
        <is>
          <t>Umów spotkanie FB</t>
        </is>
      </c>
      <c r="E51" s="3" t="n"/>
      <c r="F51" s="3" t="n"/>
      <c r="G51" s="3" t="n"/>
      <c r="H51" s="3" t="n"/>
      <c r="I51" s="3" t="n"/>
      <c r="J51" s="3" t="n"/>
      <c r="K51" s="3" t="n">
        <v>6</v>
      </c>
      <c r="L51" s="3" t="n">
        <v>1</v>
      </c>
      <c r="M51" s="3" t="n">
        <v>2</v>
      </c>
      <c r="N51" s="3" t="n">
        <v>3</v>
      </c>
      <c r="O51" s="3" t="n">
        <v>2</v>
      </c>
      <c r="P51" t="n">
        <v>6</v>
      </c>
    </row>
    <row r="52">
      <c r="A52" s="17" t="inlineStr">
        <is>
          <t>Inbound</t>
        </is>
      </c>
      <c r="B52" s="3" t="inlineStr">
        <is>
          <t>Facebook</t>
        </is>
      </c>
      <c r="C52" s="3" t="inlineStr">
        <is>
          <t>z leadem</t>
        </is>
      </c>
      <c r="D52" s="3" t="inlineStr">
        <is>
          <t>EBook Trudny Pacjent</t>
        </is>
      </c>
      <c r="E52" s="3" t="n"/>
      <c r="F52" s="3" t="n"/>
      <c r="G52" s="3" t="n"/>
      <c r="H52" s="3" t="n">
        <v>33</v>
      </c>
      <c r="I52" s="3" t="n">
        <v>127</v>
      </c>
      <c r="J52" s="3" t="n">
        <v>67</v>
      </c>
      <c r="K52" s="3" t="n">
        <v>116</v>
      </c>
      <c r="L52" s="3" t="n">
        <v>8</v>
      </c>
      <c r="M52" s="3" t="n"/>
      <c r="N52" s="3" t="n"/>
      <c r="O52" s="3" t="n"/>
    </row>
    <row r="53">
      <c r="A53" s="17" t="inlineStr">
        <is>
          <t>Inbound</t>
        </is>
      </c>
      <c r="B53" s="3" t="inlineStr">
        <is>
          <t>Polecenie</t>
        </is>
      </c>
      <c r="C53" s="3" t="inlineStr">
        <is>
          <t>z leadem</t>
        </is>
      </c>
      <c r="D53" s="3" t="inlineStr">
        <is>
          <t>Polecenie Partnera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17" t="inlineStr">
        <is>
          <t>Inbound</t>
        </is>
      </c>
      <c r="B54" s="3" t="inlineStr">
        <is>
          <t>Strona internetowa medidesk</t>
        </is>
      </c>
      <c r="C54" s="3" t="inlineStr">
        <is>
          <t>z leadem</t>
        </is>
      </c>
      <c r="D54" s="11" t="inlineStr">
        <is>
          <t>Audyt Marketingowy 202503</t>
        </is>
      </c>
      <c r="E54" s="3" t="n"/>
      <c r="F54" s="3" t="n"/>
      <c r="G54" s="3" t="n">
        <v>2</v>
      </c>
      <c r="H54" s="3" t="n">
        <v>12</v>
      </c>
      <c r="I54" s="3" t="n">
        <v>6</v>
      </c>
      <c r="J54" s="3" t="n">
        <v>2</v>
      </c>
      <c r="K54" s="3" t="n">
        <v>1</v>
      </c>
      <c r="L54" s="3" t="n"/>
      <c r="M54" s="3" t="n"/>
      <c r="N54" s="3" t="n"/>
      <c r="O54" s="3" t="n"/>
    </row>
    <row r="55">
      <c r="A55" s="17" t="inlineStr">
        <is>
          <t>Inbound</t>
        </is>
      </c>
      <c r="B55" s="3" t="inlineStr">
        <is>
          <t>Strona internetowa medidesk</t>
        </is>
      </c>
      <c r="C55" s="3" t="inlineStr">
        <is>
          <t>z leadem</t>
        </is>
      </c>
      <c r="D55" s="11" t="inlineStr">
        <is>
          <t>Audyt Tajemniczego Pacjenta 202503</t>
        </is>
      </c>
      <c r="E55" s="3" t="n"/>
      <c r="F55" s="3" t="n"/>
      <c r="G55" s="3" t="n"/>
      <c r="H55" s="3" t="n">
        <v>3</v>
      </c>
      <c r="I55" s="3" t="n">
        <v>2</v>
      </c>
      <c r="J55" s="3" t="n">
        <v>1</v>
      </c>
      <c r="K55" s="3" t="n">
        <v>2</v>
      </c>
      <c r="L55" s="3" t="n">
        <v>1</v>
      </c>
      <c r="M55" s="3" t="n">
        <v>1</v>
      </c>
      <c r="N55" s="3" t="n"/>
      <c r="O55" s="3" t="n">
        <v>2</v>
      </c>
      <c r="P55" t="n">
        <v>4</v>
      </c>
    </row>
    <row r="56">
      <c r="A56" s="17" t="inlineStr">
        <is>
          <t>Inbound</t>
        </is>
      </c>
      <c r="B56" s="3" t="inlineStr">
        <is>
          <t>Strona internetowa medidesk</t>
        </is>
      </c>
      <c r="C56" s="3" t="inlineStr">
        <is>
          <t>z leadem</t>
        </is>
      </c>
      <c r="D56" s="11" t="inlineStr">
        <is>
          <t>Integracja z Medfile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>
        <v>6</v>
      </c>
      <c r="O56" s="3" t="n"/>
    </row>
    <row r="57">
      <c r="A57" s="17" t="inlineStr">
        <is>
          <t>Inbound</t>
        </is>
      </c>
      <c r="B57" s="3" t="inlineStr">
        <is>
          <t>Strona internetowa medidesk</t>
        </is>
      </c>
      <c r="C57" s="3" t="inlineStr">
        <is>
          <t>z leadem</t>
        </is>
      </c>
      <c r="D57" s="11" t="inlineStr">
        <is>
          <t>Meddiesk 3.0</t>
        </is>
      </c>
      <c r="E57" s="3" t="n"/>
      <c r="F57" s="3" t="n"/>
      <c r="G57" s="3" t="n"/>
      <c r="H57" s="3" t="n"/>
      <c r="I57" s="3" t="n"/>
      <c r="J57" s="3" t="n">
        <v>5</v>
      </c>
      <c r="K57" s="3" t="n">
        <v>6</v>
      </c>
      <c r="L57" s="3" t="n">
        <v>1</v>
      </c>
      <c r="M57" s="3" t="n">
        <v>1</v>
      </c>
      <c r="N57" s="3" t="n">
        <v>2</v>
      </c>
      <c r="O57" s="3" t="n"/>
    </row>
    <row r="58">
      <c r="A58" s="17" t="inlineStr">
        <is>
          <t>Inbound</t>
        </is>
      </c>
      <c r="B58" s="3" t="inlineStr">
        <is>
          <t>Strona internetowa medidesk</t>
        </is>
      </c>
      <c r="C58" s="3" t="inlineStr">
        <is>
          <t>z leadem</t>
        </is>
      </c>
      <c r="D58" s="11" t="inlineStr">
        <is>
          <t>Medidesk EDU szkolenia</t>
        </is>
      </c>
      <c r="E58" s="3" t="n"/>
      <c r="F58" s="3" t="n"/>
      <c r="G58" s="3" t="n">
        <v>1</v>
      </c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17" t="inlineStr">
        <is>
          <t>Inbound</t>
        </is>
      </c>
      <c r="B59" s="3" t="inlineStr">
        <is>
          <t>Strona internetowa medidesk</t>
        </is>
      </c>
      <c r="C59" s="3" t="inlineStr">
        <is>
          <t>z leadem</t>
        </is>
      </c>
      <c r="D59" s="11" t="inlineStr">
        <is>
          <t>Medidesk Kontakt EN</t>
        </is>
      </c>
      <c r="E59" s="3" t="n"/>
      <c r="F59" s="3" t="n"/>
      <c r="G59" s="3" t="n">
        <v>1</v>
      </c>
      <c r="H59" s="3" t="n"/>
      <c r="I59" s="3" t="n">
        <v>1</v>
      </c>
      <c r="J59" s="3" t="n">
        <v>1</v>
      </c>
      <c r="K59" s="3" t="n"/>
      <c r="L59" s="3" t="n"/>
      <c r="M59" s="3" t="n">
        <v>1</v>
      </c>
      <c r="N59" s="3" t="n">
        <v>2</v>
      </c>
      <c r="O59" s="3" t="n"/>
    </row>
    <row r="60">
      <c r="A60" s="17" t="inlineStr">
        <is>
          <t>Inbound</t>
        </is>
      </c>
      <c r="B60" s="3" t="inlineStr">
        <is>
          <t>Strona internetowa medidesk</t>
        </is>
      </c>
      <c r="C60" s="3" t="inlineStr">
        <is>
          <t>z leadem</t>
        </is>
      </c>
      <c r="D60" s="11" t="inlineStr">
        <is>
          <t>Medidesk Kontakt PL</t>
        </is>
      </c>
      <c r="E60" s="3" t="n">
        <v>1</v>
      </c>
      <c r="F60" s="3" t="n">
        <v>1</v>
      </c>
      <c r="G60" s="3" t="n">
        <v>3</v>
      </c>
      <c r="H60" s="3" t="n">
        <v>3</v>
      </c>
      <c r="I60" s="3" t="n">
        <v>2</v>
      </c>
      <c r="J60" s="3" t="n">
        <v>4</v>
      </c>
      <c r="K60" s="3" t="n">
        <v>9</v>
      </c>
      <c r="L60" s="3" t="n">
        <v>8</v>
      </c>
      <c r="M60" s="3" t="n">
        <v>7</v>
      </c>
      <c r="N60" s="3" t="n">
        <v>6</v>
      </c>
      <c r="O60" s="3" t="n">
        <v>1</v>
      </c>
      <c r="P60" t="n">
        <v>2</v>
      </c>
    </row>
    <row r="61">
      <c r="A61" s="17" t="inlineStr">
        <is>
          <t>Inbound</t>
        </is>
      </c>
      <c r="B61" s="3" t="inlineStr">
        <is>
          <t>Strona internetowa medidesk</t>
        </is>
      </c>
      <c r="C61" s="3" t="inlineStr">
        <is>
          <t>z leadem</t>
        </is>
      </c>
      <c r="D61" s="11" t="inlineStr">
        <is>
          <t>SMS Campaign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>
        <v>1</v>
      </c>
    </row>
    <row r="62">
      <c r="A62" s="17" t="inlineStr">
        <is>
          <t>Inbound</t>
        </is>
      </c>
      <c r="B62" s="3" t="inlineStr">
        <is>
          <t>Strona internetowa medidesk</t>
        </is>
      </c>
      <c r="C62" s="3" t="inlineStr">
        <is>
          <t>z leadem</t>
        </is>
      </c>
      <c r="D62" s="11" t="inlineStr">
        <is>
          <t>Umów spotkanie</t>
        </is>
      </c>
      <c r="E62" s="3" t="n"/>
      <c r="F62" s="3" t="n">
        <v>5</v>
      </c>
      <c r="G62" s="3" t="n">
        <v>5</v>
      </c>
      <c r="H62" s="3" t="n">
        <v>2</v>
      </c>
      <c r="I62" s="3" t="n">
        <v>1</v>
      </c>
      <c r="J62" s="3" t="n">
        <v>1</v>
      </c>
      <c r="K62" s="3" t="n">
        <v>4</v>
      </c>
      <c r="L62" s="3" t="n">
        <v>3</v>
      </c>
      <c r="M62" s="3" t="n">
        <v>2</v>
      </c>
      <c r="N62" s="3" t="n">
        <v>2</v>
      </c>
      <c r="O62" s="3" t="n">
        <v>2</v>
      </c>
      <c r="P62" t="n">
        <v>2</v>
      </c>
    </row>
    <row r="63">
      <c r="A63" s="17" t="inlineStr">
        <is>
          <t>Inbound</t>
        </is>
      </c>
      <c r="B63" s="3" t="inlineStr">
        <is>
          <t>Strona internetowa medidesk</t>
        </is>
      </c>
      <c r="C63" s="3" t="inlineStr">
        <is>
          <t>z leadem</t>
        </is>
      </c>
      <c r="D63" s="11" t="inlineStr">
        <is>
          <t>Webinar Marafiki 20250409</t>
        </is>
      </c>
      <c r="E63" s="3" t="n"/>
      <c r="F63" s="3" t="n"/>
      <c r="G63" s="3" t="n">
        <v>1</v>
      </c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17" t="inlineStr">
        <is>
          <t>Outbound</t>
        </is>
      </c>
      <c r="B64" s="11" t="inlineStr">
        <is>
          <t>Scrapper</t>
        </is>
      </c>
      <c r="C64" s="3" t="inlineStr">
        <is>
          <t>z leadem</t>
        </is>
      </c>
      <c r="D64" s="11" t="inlineStr">
        <is>
          <t>Scrapper</t>
        </is>
      </c>
      <c r="E64" s="3" t="n"/>
      <c r="F64" s="3" t="n"/>
      <c r="G64" s="3" t="n"/>
      <c r="H64" s="3" t="n"/>
      <c r="I64" s="3" t="n"/>
      <c r="J64" s="3" t="n">
        <v>-1</v>
      </c>
      <c r="K64" s="3" t="n"/>
      <c r="L64" s="3" t="n"/>
      <c r="M64" s="3" t="n"/>
      <c r="N64" s="3" t="n"/>
      <c r="O64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Katarzyna Ochnik</dc:creator>
  <dcterms:created xmlns:dcterms="http://purl.org/dc/terms/" xmlns:xsi="http://www.w3.org/2001/XMLSchema-instance" xsi:type="dcterms:W3CDTF">2025-11-09T14:34:11Z</dcterms:created>
  <dcterms:modified xmlns:dcterms="http://purl.org/dc/terms/" xmlns:xsi="http://www.w3.org/2001/XMLSchema-instance" xsi:type="dcterms:W3CDTF">2026-01-13T11:44:43Z</dcterms:modified>
  <cp:lastModifiedBy>Katarzyna Ochnik</cp:lastModifiedBy>
</cp:coreProperties>
</file>