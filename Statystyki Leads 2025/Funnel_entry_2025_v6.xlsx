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chn\.cursor\Medidesk\Statystyki Leads 2025\"/>
    </mc:Choice>
  </mc:AlternateContent>
  <xr:revisionPtr revIDLastSave="0" documentId="13_ncr:1_{989F0789-D2B7-403A-912E-F39E701BAFE1}" xr6:coauthVersionLast="47" xr6:coauthVersionMax="47" xr10:uidLastSave="{00000000-0000-0000-0000-000000000000}"/>
  <bookViews>
    <workbookView xWindow="-110" yWindow="-110" windowWidth="51420" windowHeight="13900" activeTab="3" xr2:uid="{00000000-000D-0000-FFFF-FFFF00000000}"/>
  </bookViews>
  <sheets>
    <sheet name="Opis" sheetId="1" r:id="rId1"/>
    <sheet name="Lejek_mies_zrodlo" sheetId="2" r:id="rId2"/>
    <sheet name="Lejek_mies_global" sheetId="3" r:id="rId3"/>
    <sheet name="Lejek_zrodlo_global" sheetId="4" r:id="rId4"/>
  </sheets>
  <definedNames>
    <definedName name="_xlnm._FilterDatabase" localSheetId="2" hidden="1">Lejek_mies_global!$A$1:$K$13</definedName>
    <definedName name="_xlnm._FilterDatabase" localSheetId="1" hidden="1">Lejek_mies_zrodlo!$A$1:$N$1</definedName>
    <definedName name="_xlnm._FilterDatabase" localSheetId="3" hidden="1">Lejek_zrodlo_global!$A$1:$X$46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7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2" i="4"/>
  <c r="Q47" i="4"/>
  <c r="P47" i="4"/>
  <c r="U47" i="4"/>
</calcChain>
</file>

<file path=xl/sharedStrings.xml><?xml version="1.0" encoding="utf-8"?>
<sst xmlns="http://schemas.openxmlformats.org/spreadsheetml/2006/main" count="958" uniqueCount="127">
  <si>
    <t>Lejek wejścia 2025 – definicje i uwagi</t>
  </si>
  <si>
    <t>Wejście (cykl):</t>
  </si>
  <si>
    <t>- zdeduplikowane ML/Lead (jeśli Lead pochodzi z ML) liczymy jako 1 projekt.</t>
  </si>
  <si>
    <t>Miesiąc wejścia:</t>
  </si>
  <si>
    <t>- przypisany wg Created_Time rekordu wejściowego (ML albo Lead).</t>
  </si>
  <si>
    <t>Spotkanie:</t>
  </si>
  <si>
    <t>- status TAK, jeśli istnieje jakikolwiek rekord w related Events lub Events_History.</t>
  </si>
  <si>
    <t>Dni do 1. spotkania:</t>
  </si>
  <si>
    <t>- różnica między momentem wejścia a czasem pierwszego spotkania (na etapie Leada).</t>
  </si>
  <si>
    <t>Deal / Umowa:</t>
  </si>
  <si>
    <t>- Deal: projekt ma Deal; Umowa: Deal w etapie „Closed Won”.</t>
  </si>
  <si>
    <t>Miesiąc wejścia (wg Created_Time)</t>
  </si>
  <si>
    <t>Źródło – poziom I</t>
  </si>
  <si>
    <t>Źródło – poziom II</t>
  </si>
  <si>
    <t>Źródło – poziom III</t>
  </si>
  <si>
    <t>Liczba projektów</t>
  </si>
  <si>
    <t>Liczba Meeting I</t>
  </si>
  <si>
    <t>Odsetek Meeting I</t>
  </si>
  <si>
    <t>Mediana dni do 1. spotkania</t>
  </si>
  <si>
    <t>Średnia dni do 1. spotkania</t>
  </si>
  <si>
    <t>Liczba Deali z projektów</t>
  </si>
  <si>
    <t>Odsetek projektów z Dealam</t>
  </si>
  <si>
    <t>Liczba umów (Deal = Closed Won)</t>
  </si>
  <si>
    <t>Odsetek umów z wejść</t>
  </si>
  <si>
    <t>Win rate: umowy / deale</t>
  </si>
  <si>
    <t>Miesiąc: 2025-01</t>
  </si>
  <si>
    <t xml:space="preserve">  Źródło (I/II): Inbound / Email na biuro</t>
  </si>
  <si>
    <t>2025-01</t>
  </si>
  <si>
    <t>Inbound</t>
  </si>
  <si>
    <t>Email na biuro</t>
  </si>
  <si>
    <t xml:space="preserve">  Źródło (I/II): Inbound / Polecenie</t>
  </si>
  <si>
    <t>Polecenie</t>
  </si>
  <si>
    <t>Pracownik medidesk</t>
  </si>
  <si>
    <t xml:space="preserve">  Źródło (I/II): Inbound / Strona internetowa medidesk</t>
  </si>
  <si>
    <t>Strona internetowa medidesk</t>
  </si>
  <si>
    <t>Medidesk Kontakt PL</t>
  </si>
  <si>
    <t xml:space="preserve">  Źródło (I/II): Inbound / Telefon na biuro</t>
  </si>
  <si>
    <t>Telefon na biuro</t>
  </si>
  <si>
    <t xml:space="preserve">  Źródło (I/II): Outbound / Akwizycja telefoniczna</t>
  </si>
  <si>
    <t>Outbound</t>
  </si>
  <si>
    <t>Akwizycja telefoniczna</t>
  </si>
  <si>
    <t xml:space="preserve">  Źródło (I/II): Outbound / Reinkarnacja</t>
  </si>
  <si>
    <t>Reinkarnacja</t>
  </si>
  <si>
    <t xml:space="preserve">  Źródło (I/II): Outbound / brak danych</t>
  </si>
  <si>
    <t>brak danych</t>
  </si>
  <si>
    <t>Miesiąc: 2025-02</t>
  </si>
  <si>
    <t>2025-02</t>
  </si>
  <si>
    <t>Firma polecająca</t>
  </si>
  <si>
    <t>Medidesk EDU audyty</t>
  </si>
  <si>
    <t>Umów spotkanie</t>
  </si>
  <si>
    <t xml:space="preserve">  Źródło (I/II): Inbound / Webinar</t>
  </si>
  <si>
    <t>Webinar</t>
  </si>
  <si>
    <t>Miesiąc: 2025-03</t>
  </si>
  <si>
    <t xml:space="preserve">  Źródło (I/II): Inbound / Konferencja</t>
  </si>
  <si>
    <t>2025-03</t>
  </si>
  <si>
    <t>Konferencja</t>
  </si>
  <si>
    <t>Audyt Marketingowy 202503</t>
  </si>
  <si>
    <t>Email biuro</t>
  </si>
  <si>
    <t>FB</t>
  </si>
  <si>
    <t>Medidesk EDU szkolenia</t>
  </si>
  <si>
    <t>Medidesk Kontakt EN</t>
  </si>
  <si>
    <t>Webinar Marafiki 20250409</t>
  </si>
  <si>
    <t xml:space="preserve">  Źródło (I/II): Inbound / Webinary medidesk</t>
  </si>
  <si>
    <t>Webinary medidesk</t>
  </si>
  <si>
    <t>20250319 - Jak rozwijać placówkę</t>
  </si>
  <si>
    <t>20250409 - Webinar Marafiki</t>
  </si>
  <si>
    <t>20250612 - Chirurgiczny lejek online</t>
  </si>
  <si>
    <t xml:space="preserve">  Źródło (I/II): Outbound / Akwizycja telefoniczna po webinarze</t>
  </si>
  <si>
    <t>Akwizycja telefoniczna po webinarze</t>
  </si>
  <si>
    <t>Miesiąc: 2025-04</t>
  </si>
  <si>
    <t>2025-04</t>
  </si>
  <si>
    <t xml:space="preserve">  Źródło (I/II): Inbound / Facebook</t>
  </si>
  <si>
    <t>Facebook</t>
  </si>
  <si>
    <t>EBook Trudny Pacjent</t>
  </si>
  <si>
    <t xml:space="preserve">  Źródło (I/II): Inbound / LinkedIn</t>
  </si>
  <si>
    <t>LinkedIn</t>
  </si>
  <si>
    <t>Partner polecający</t>
  </si>
  <si>
    <t>Audyt Tajemniczego Pacjenta 202503</t>
  </si>
  <si>
    <t>Miesiąc: 2025-05</t>
  </si>
  <si>
    <t>2025-05</t>
  </si>
  <si>
    <t>EBook Zmiany w prawie marketingu medycznego</t>
  </si>
  <si>
    <t xml:space="preserve">  Źródło (I/II): Outbound / Facebook po pobraniu</t>
  </si>
  <si>
    <t>Facebook po pobraniu</t>
  </si>
  <si>
    <t>Miesiąc: 2025-06</t>
  </si>
  <si>
    <t>2025-06</t>
  </si>
  <si>
    <t>Meddiesk 3.0</t>
  </si>
  <si>
    <t>20250604 - Pozycjonowanie i social media</t>
  </si>
  <si>
    <t xml:space="preserve">  Źródło (I/II): Outbound / Facebook</t>
  </si>
  <si>
    <t>Miesiąc: 2025-07</t>
  </si>
  <si>
    <t>2025-07</t>
  </si>
  <si>
    <t>Umów spotkanie FB</t>
  </si>
  <si>
    <t>20250625 - Komunikacja z pokoleniem Z</t>
  </si>
  <si>
    <t>Miesiąc: 2025-08</t>
  </si>
  <si>
    <t>2025-08</t>
  </si>
  <si>
    <t>Miesiąc: 2025-09</t>
  </si>
  <si>
    <t>2025-09</t>
  </si>
  <si>
    <t>EBook Zyskowna przychodnia - redukcja kosztów</t>
  </si>
  <si>
    <t>Miesiąc: 2025-10</t>
  </si>
  <si>
    <t>2025-10</t>
  </si>
  <si>
    <t xml:space="preserve">  Źródło (I/II): Inbound / Konferencja zewnętrzna</t>
  </si>
  <si>
    <t>Konferencja zewnętrzna</t>
  </si>
  <si>
    <t>202510 Dolmed</t>
  </si>
  <si>
    <t>Integracja z Medfile</t>
  </si>
  <si>
    <t>Miesiąc: 2025-11</t>
  </si>
  <si>
    <t>2025-11</t>
  </si>
  <si>
    <t>Kurs MBM Black Friday</t>
  </si>
  <si>
    <t>SMS Campaign</t>
  </si>
  <si>
    <t xml:space="preserve">  Źródło (I/II): Inbound / brak danych</t>
  </si>
  <si>
    <t>Miesiąc: 2025-12</t>
  </si>
  <si>
    <t>2025-12</t>
  </si>
  <si>
    <t>Medidesk 3.0 Sales 20251203</t>
  </si>
  <si>
    <t xml:space="preserve">  Źródło (I/II): Inbound / Telefon na infolinie</t>
  </si>
  <si>
    <t>Telefon na infolinie</t>
  </si>
  <si>
    <t xml:space="preserve">  Źródło (I/II): Outbound / Akwizycja telefoniczna po konferencji</t>
  </si>
  <si>
    <t>Akwizycja telefoniczna po konferencji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</si>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</sst>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7EEF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/>
    <xf numFmtId="164" fontId="2" fillId="3" borderId="0" xfId="0" applyNumberFormat="1" applyFont="1" applyFill="1"/>
    <xf numFmtId="2" fontId="2" fillId="3" borderId="0" xfId="0" applyNumberFormat="1" applyFont="1" applyFill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ny" xfId="0" builtinId="0"/>
  </cellStyles>
  <dxfs count="50">
    <dxf>
      <numFmt numFmtId="164" formatCode="0.00&quot;%&quot;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fill>
        <patternFill patternType="solid">
          <fgColor indexed="64"/>
          <bgColor rgb="FFE7EEF9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10BAD-7248-427C-B70E-A4E29A14F73B}" name="Tabela1" displayName="Tabela1" ref="A1:X47" totalsRowCount="1" headerRowDxfId="26" dataDxfId="27">
  <autoFilter ref="A1:X46" xr:uid="{00000000-0009-0000-0000-000003000000}"/>
  <tableColumns count="24">
    <tableColumn id="1" xr3:uid="{B296EF0B-2DC4-4864-B736-799B78126C39}" name="Źródło – poziom I" dataDxfId="49" totalsRowDxfId="23"/>
    <tableColumn id="2" xr3:uid="{9E498F8B-9798-4873-8231-E55B11587A39}" name="Źródło – poziom II" dataDxfId="48" totalsRowDxfId="22"/>
    <tableColumn id="3" xr3:uid="{D05E468D-6658-4F07-832B-AD11B2C2C4C0}" name="Źródło – poziom III" dataDxfId="47" totalsRowDxfId="21"/>
    <tableColumn id="4" xr3:uid="{C7B2801D-E620-4E8A-AFF1-3B29A74F164E}" name="Styczeń" dataDxfId="46" totalsRowDxfId="20"/>
    <tableColumn id="5" xr3:uid="{81575C29-3F96-49A4-976D-2A1AC43E4DBE}" name="Luty" dataDxfId="45" totalsRowDxfId="19"/>
    <tableColumn id="6" xr3:uid="{18E5000F-41C7-44CD-B31A-FACD0DC4712B}" name="Marzec" dataDxfId="44" totalsRowDxfId="18"/>
    <tableColumn id="7" xr3:uid="{3BF778FA-7859-4DDD-AAC7-D675D7A6AD23}" name="Kwiecień" dataDxfId="43" totalsRowDxfId="17"/>
    <tableColumn id="8" xr3:uid="{475FBB0D-DBAB-4072-99CF-7D820C000736}" name="Maj" dataDxfId="42" totalsRowDxfId="16"/>
    <tableColumn id="9" xr3:uid="{3D4D882E-CC26-4A23-BC2F-4F0B134BD12D}" name="Czerwiec" dataDxfId="41" totalsRowDxfId="15"/>
    <tableColumn id="10" xr3:uid="{218BA5BE-F4AB-435A-B7F5-2D72EB7C6A50}" name="Lipiec" dataDxfId="40" totalsRowDxfId="14"/>
    <tableColumn id="11" xr3:uid="{F227B060-5FEB-4AB6-9B2C-3798A7E3475D}" name="Sierpień" dataDxfId="39" totalsRowDxfId="13"/>
    <tableColumn id="12" xr3:uid="{015AA0B1-2B1D-4C9F-9678-6C781D79902B}" name="Wrzesień" dataDxfId="38" totalsRowDxfId="12"/>
    <tableColumn id="13" xr3:uid="{663C576C-7ED7-4458-B509-11F71B3DEBF7}" name="Październik" dataDxfId="37" totalsRowDxfId="11"/>
    <tableColumn id="14" xr3:uid="{6A41B5F8-419C-4BCF-AD7F-6287E0365847}" name="Listopad" dataDxfId="36" totalsRowDxfId="10"/>
    <tableColumn id="15" xr3:uid="{CD728511-B387-4F10-A92A-F1695046E923}" name="Grudzień" dataDxfId="35" totalsRowDxfId="9"/>
    <tableColumn id="16" xr3:uid="{492DE58D-560D-4F01-A1B2-3FC39CCEDDEE}" name="Liczba projektów" totalsRowFunction="custom" dataDxfId="24" totalsRowDxfId="8">
      <totalsRowFormula>SUM(Tabela1[Liczba projektów])</totalsRowFormula>
    </tableColumn>
    <tableColumn id="17" xr3:uid="{9E6A3EC9-F19E-4D16-992D-EFA4540DF9B7}" name="Liczba Meeting I" totalsRowFunction="custom" dataDxfId="25" totalsRowDxfId="7">
      <totalsRowFormula>SUM(Tabela1[Liczba Meeting I])</totalsRowFormula>
    </tableColumn>
    <tableColumn id="18" xr3:uid="{ACB79CD1-F507-4327-AFE8-307C47B2E7BB}" name="Odsetek Meeting I" dataDxfId="34" totalsRowDxfId="6"/>
    <tableColumn id="19" xr3:uid="{783D35C7-0592-420B-A988-3C3529ABBB2A}" name="Mediana dni do 1. spotkania" dataDxfId="33" totalsRowDxfId="5"/>
    <tableColumn id="20" xr3:uid="{58A6C199-36C3-499C-8834-808179B6344E}" name="Średnia dni do 1. spotkania" dataDxfId="32" totalsRowDxfId="4"/>
    <tableColumn id="21" xr3:uid="{9AD82E66-9C7F-468D-A3EB-AB070EF11AF5}" name="Liczba Deali z projektów" totalsRowFunction="custom" dataDxfId="31" totalsRowDxfId="3">
      <totalsRowFormula>SUM(Tabela1[Liczba Deali z projektów])</totalsRowFormula>
    </tableColumn>
    <tableColumn id="22" xr3:uid="{88EF1A80-9678-49EB-9397-EB184356338B}" name="Odsetek projektów z Dealam" dataDxfId="30" totalsRowDxfId="2"/>
    <tableColumn id="24" xr3:uid="{23BA1EFC-A5CD-47B0-A548-76ADC90586DF}" name="Odsetek umów z wejść" totalsRowFunction="custom" dataDxfId="29" totalsRowDxfId="1">
      <calculatedColumnFormula>Tabela1[[#This Row],[Liczba Deali z projektów]]/Tabela1[[#This Row],[Liczba projektów]]</calculatedColumnFormula>
      <totalsRowFormula>Tabela1[[#Totals],[Liczba Deali z projektów]]/Tabela1[[#Totals],[Liczba projektów]]</totalsRowFormula>
    </tableColumn>
    <tableColumn id="25" xr3:uid="{76CADD54-8A5F-4709-9698-38ABB303772A}" name="Win rate: umowy / deale" dataDxfId="2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5" spans="1:1" x14ac:dyDescent="0.35">
      <c r="A15" t="s">
        <v>9</v>
      </c>
    </row>
    <row r="16" spans="1:1" x14ac:dyDescent="0.35">
      <c r="A1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3"/>
  <sheetViews>
    <sheetView workbookViewId="0">
      <pane ySplit="1" topLeftCell="A2" activePane="bottomLeft" state="frozen"/>
      <selection pane="bottomLeft"/>
    </sheetView>
  </sheetViews>
  <sheetFormatPr defaultRowHeight="14.5" outlineLevelRow="3" x14ac:dyDescent="0.35"/>
  <cols>
    <col min="1" max="1" width="60" customWidth="1"/>
    <col min="2" max="2" width="19" customWidth="1"/>
    <col min="3" max="3" width="39" customWidth="1"/>
    <col min="4" max="4" width="47" customWidth="1"/>
    <col min="5" max="6" width="18" customWidth="1"/>
    <col min="7" max="7" width="19" customWidth="1"/>
    <col min="8" max="9" width="29" customWidth="1"/>
    <col min="10" max="10" width="26" customWidth="1"/>
    <col min="11" max="11" width="28" customWidth="1"/>
    <col min="12" max="12" width="33" customWidth="1"/>
    <col min="13" max="13" width="22" customWidth="1"/>
    <col min="14" max="14" width="25" customWidth="1"/>
  </cols>
  <sheetData>
    <row r="1" spans="1:14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</row>
    <row r="2" spans="1:14" outlineLevel="1" collapsed="1" x14ac:dyDescent="0.35">
      <c r="A2" s="3" t="s">
        <v>25</v>
      </c>
      <c r="B2" s="3"/>
      <c r="C2" s="3"/>
      <c r="D2" s="3"/>
      <c r="E2" s="3"/>
      <c r="F2" s="3"/>
      <c r="G2" s="4"/>
      <c r="H2" s="5"/>
      <c r="I2" s="5"/>
      <c r="J2" s="3"/>
      <c r="K2" s="4"/>
      <c r="L2" s="3"/>
      <c r="M2" s="4"/>
      <c r="N2" s="4"/>
    </row>
    <row r="3" spans="1:14" outlineLevel="2" collapsed="1" x14ac:dyDescent="0.35">
      <c r="A3" s="3" t="s">
        <v>26</v>
      </c>
      <c r="B3" s="3"/>
      <c r="C3" s="3"/>
      <c r="D3" s="3"/>
      <c r="E3" s="3"/>
      <c r="F3" s="3"/>
      <c r="G3" s="4"/>
      <c r="H3" s="5"/>
      <c r="I3" s="5"/>
      <c r="J3" s="3"/>
      <c r="K3" s="4"/>
      <c r="L3" s="3"/>
      <c r="M3" s="4"/>
      <c r="N3" s="4"/>
    </row>
    <row r="4" spans="1:14" outlineLevel="3" x14ac:dyDescent="0.35">
      <c r="A4" t="s">
        <v>27</v>
      </c>
      <c r="B4" t="s">
        <v>28</v>
      </c>
      <c r="C4" t="s">
        <v>29</v>
      </c>
      <c r="D4" t="s">
        <v>29</v>
      </c>
      <c r="E4">
        <v>1</v>
      </c>
      <c r="F4">
        <v>1</v>
      </c>
      <c r="G4" s="6">
        <v>100</v>
      </c>
      <c r="H4" s="7">
        <v>1</v>
      </c>
      <c r="I4" s="7">
        <v>1</v>
      </c>
      <c r="J4">
        <v>1</v>
      </c>
      <c r="K4" s="6">
        <v>100</v>
      </c>
      <c r="L4">
        <v>0</v>
      </c>
      <c r="M4" s="6">
        <v>0</v>
      </c>
      <c r="N4" s="6">
        <v>0</v>
      </c>
    </row>
    <row r="5" spans="1:14" outlineLevel="2" collapsed="1" x14ac:dyDescent="0.35">
      <c r="A5" s="3" t="s">
        <v>30</v>
      </c>
      <c r="B5" s="3"/>
      <c r="C5" s="3"/>
      <c r="D5" s="3"/>
      <c r="E5" s="3"/>
      <c r="F5" s="3"/>
      <c r="G5" s="4"/>
      <c r="H5" s="5"/>
      <c r="I5" s="5"/>
      <c r="J5" s="3"/>
      <c r="K5" s="4"/>
      <c r="L5" s="3"/>
      <c r="M5" s="4"/>
      <c r="N5" s="4"/>
    </row>
    <row r="6" spans="1:14" outlineLevel="3" x14ac:dyDescent="0.35">
      <c r="A6" t="s">
        <v>27</v>
      </c>
      <c r="B6" t="s">
        <v>28</v>
      </c>
      <c r="C6" t="s">
        <v>31</v>
      </c>
      <c r="D6" t="s">
        <v>31</v>
      </c>
      <c r="E6">
        <v>9</v>
      </c>
      <c r="F6">
        <v>2</v>
      </c>
      <c r="G6" s="6">
        <v>22.22</v>
      </c>
      <c r="H6" s="7">
        <v>6</v>
      </c>
      <c r="I6" s="7">
        <v>6</v>
      </c>
      <c r="J6">
        <v>2</v>
      </c>
      <c r="K6" s="6">
        <v>22.22</v>
      </c>
      <c r="L6">
        <v>0</v>
      </c>
      <c r="M6" s="6">
        <v>0</v>
      </c>
      <c r="N6" s="6">
        <v>0</v>
      </c>
    </row>
    <row r="7" spans="1:14" outlineLevel="3" x14ac:dyDescent="0.35">
      <c r="A7" t="s">
        <v>27</v>
      </c>
      <c r="B7" t="s">
        <v>28</v>
      </c>
      <c r="C7" t="s">
        <v>31</v>
      </c>
      <c r="D7" t="s">
        <v>32</v>
      </c>
      <c r="E7">
        <v>1</v>
      </c>
      <c r="F7">
        <v>0</v>
      </c>
      <c r="G7" s="6">
        <v>0</v>
      </c>
      <c r="H7" s="7"/>
      <c r="I7" s="7"/>
      <c r="J7">
        <v>0</v>
      </c>
      <c r="K7" s="6">
        <v>0</v>
      </c>
      <c r="L7">
        <v>0</v>
      </c>
      <c r="M7" s="6">
        <v>0</v>
      </c>
      <c r="N7" s="6">
        <v>0</v>
      </c>
    </row>
    <row r="8" spans="1:14" outlineLevel="2" collapsed="1" x14ac:dyDescent="0.35">
      <c r="A8" s="3" t="s">
        <v>33</v>
      </c>
      <c r="B8" s="3"/>
      <c r="C8" s="3"/>
      <c r="D8" s="3"/>
      <c r="E8" s="3"/>
      <c r="F8" s="3"/>
      <c r="G8" s="4"/>
      <c r="H8" s="5"/>
      <c r="I8" s="5"/>
      <c r="J8" s="3"/>
      <c r="K8" s="4"/>
      <c r="L8" s="3"/>
      <c r="M8" s="4"/>
      <c r="N8" s="4"/>
    </row>
    <row r="9" spans="1:14" outlineLevel="3" x14ac:dyDescent="0.35">
      <c r="A9" t="s">
        <v>27</v>
      </c>
      <c r="B9" t="s">
        <v>28</v>
      </c>
      <c r="C9" t="s">
        <v>34</v>
      </c>
      <c r="D9" t="s">
        <v>35</v>
      </c>
      <c r="E9">
        <v>1</v>
      </c>
      <c r="F9">
        <v>1</v>
      </c>
      <c r="G9" s="6">
        <v>100</v>
      </c>
      <c r="H9" s="7">
        <v>0</v>
      </c>
      <c r="I9" s="7">
        <v>0</v>
      </c>
      <c r="J9">
        <v>0</v>
      </c>
      <c r="K9" s="6">
        <v>0</v>
      </c>
      <c r="L9">
        <v>0</v>
      </c>
      <c r="M9" s="6">
        <v>0</v>
      </c>
      <c r="N9" s="6">
        <v>0</v>
      </c>
    </row>
    <row r="10" spans="1:14" outlineLevel="3" x14ac:dyDescent="0.35">
      <c r="A10" t="s">
        <v>27</v>
      </c>
      <c r="B10" t="s">
        <v>28</v>
      </c>
      <c r="C10" t="s">
        <v>34</v>
      </c>
      <c r="D10" t="s">
        <v>34</v>
      </c>
      <c r="E10">
        <v>8</v>
      </c>
      <c r="F10">
        <v>8</v>
      </c>
      <c r="G10" s="6">
        <v>100</v>
      </c>
      <c r="H10" s="7">
        <v>6.5</v>
      </c>
      <c r="I10" s="7">
        <v>6.5</v>
      </c>
      <c r="J10">
        <v>4</v>
      </c>
      <c r="K10" s="6">
        <v>50</v>
      </c>
      <c r="L10">
        <v>0</v>
      </c>
      <c r="M10" s="6">
        <v>0</v>
      </c>
      <c r="N10" s="6">
        <v>0</v>
      </c>
    </row>
    <row r="11" spans="1:14" outlineLevel="2" collapsed="1" x14ac:dyDescent="0.35">
      <c r="A11" s="3" t="s">
        <v>36</v>
      </c>
      <c r="B11" s="3"/>
      <c r="C11" s="3"/>
      <c r="D11" s="3"/>
      <c r="E11" s="3"/>
      <c r="F11" s="3"/>
      <c r="G11" s="4"/>
      <c r="H11" s="5"/>
      <c r="I11" s="5"/>
      <c r="J11" s="3"/>
      <c r="K11" s="4"/>
      <c r="L11" s="3"/>
      <c r="M11" s="4"/>
      <c r="N11" s="4"/>
    </row>
    <row r="12" spans="1:14" outlineLevel="3" x14ac:dyDescent="0.35">
      <c r="A12" t="s">
        <v>27</v>
      </c>
      <c r="B12" t="s">
        <v>28</v>
      </c>
      <c r="C12" t="s">
        <v>37</v>
      </c>
      <c r="D12" t="s">
        <v>37</v>
      </c>
      <c r="E12">
        <v>1</v>
      </c>
      <c r="F12">
        <v>1</v>
      </c>
      <c r="G12" s="6">
        <v>100</v>
      </c>
      <c r="H12" s="7">
        <v>7</v>
      </c>
      <c r="I12" s="7">
        <v>7</v>
      </c>
      <c r="J12">
        <v>1</v>
      </c>
      <c r="K12" s="6">
        <v>100</v>
      </c>
      <c r="L12">
        <v>0</v>
      </c>
      <c r="M12" s="6">
        <v>0</v>
      </c>
      <c r="N12" s="6">
        <v>0</v>
      </c>
    </row>
    <row r="13" spans="1:14" outlineLevel="2" collapsed="1" x14ac:dyDescent="0.35">
      <c r="A13" s="3" t="s">
        <v>38</v>
      </c>
      <c r="B13" s="3"/>
      <c r="C13" s="3"/>
      <c r="D13" s="3"/>
      <c r="E13" s="3"/>
      <c r="F13" s="3"/>
      <c r="G13" s="4"/>
      <c r="H13" s="5"/>
      <c r="I13" s="5"/>
      <c r="J13" s="3"/>
      <c r="K13" s="4"/>
      <c r="L13" s="3"/>
      <c r="M13" s="4"/>
      <c r="N13" s="4"/>
    </row>
    <row r="14" spans="1:14" outlineLevel="3" x14ac:dyDescent="0.35">
      <c r="A14" t="s">
        <v>27</v>
      </c>
      <c r="B14" t="s">
        <v>39</v>
      </c>
      <c r="C14" t="s">
        <v>40</v>
      </c>
      <c r="D14" t="s">
        <v>40</v>
      </c>
      <c r="E14">
        <v>162</v>
      </c>
      <c r="F14">
        <v>25</v>
      </c>
      <c r="G14" s="6">
        <v>15.43</v>
      </c>
      <c r="H14" s="7">
        <v>13.5</v>
      </c>
      <c r="I14" s="7">
        <v>48.38</v>
      </c>
      <c r="J14">
        <v>15</v>
      </c>
      <c r="K14" s="6">
        <v>9.26</v>
      </c>
      <c r="L14">
        <v>2</v>
      </c>
      <c r="M14" s="6">
        <v>1.23</v>
      </c>
      <c r="N14" s="6">
        <v>13.33</v>
      </c>
    </row>
    <row r="15" spans="1:14" outlineLevel="2" collapsed="1" x14ac:dyDescent="0.35">
      <c r="A15" s="3" t="s">
        <v>41</v>
      </c>
      <c r="B15" s="3"/>
      <c r="C15" s="3"/>
      <c r="D15" s="3"/>
      <c r="E15" s="3"/>
      <c r="F15" s="3"/>
      <c r="G15" s="4"/>
      <c r="H15" s="5"/>
      <c r="I15" s="5"/>
      <c r="J15" s="3"/>
      <c r="K15" s="4"/>
      <c r="L15" s="3"/>
      <c r="M15" s="4"/>
      <c r="N15" s="4"/>
    </row>
    <row r="16" spans="1:14" outlineLevel="3" x14ac:dyDescent="0.35">
      <c r="A16" t="s">
        <v>27</v>
      </c>
      <c r="B16" t="s">
        <v>39</v>
      </c>
      <c r="C16" t="s">
        <v>42</v>
      </c>
      <c r="D16" t="s">
        <v>42</v>
      </c>
      <c r="E16">
        <v>7</v>
      </c>
      <c r="F16">
        <v>4</v>
      </c>
      <c r="G16" s="6">
        <v>57.14</v>
      </c>
      <c r="H16" s="7">
        <v>7</v>
      </c>
      <c r="I16" s="7">
        <v>7</v>
      </c>
      <c r="J16">
        <v>4</v>
      </c>
      <c r="K16" s="6">
        <v>57.14</v>
      </c>
      <c r="L16">
        <v>0</v>
      </c>
      <c r="M16" s="6">
        <v>0</v>
      </c>
      <c r="N16" s="6">
        <v>0</v>
      </c>
    </row>
    <row r="17" spans="1:14" outlineLevel="2" collapsed="1" x14ac:dyDescent="0.35">
      <c r="A17" s="3" t="s">
        <v>43</v>
      </c>
      <c r="B17" s="3"/>
      <c r="C17" s="3"/>
      <c r="D17" s="3"/>
      <c r="E17" s="3"/>
      <c r="F17" s="3"/>
      <c r="G17" s="4"/>
      <c r="H17" s="5"/>
      <c r="I17" s="5"/>
      <c r="J17" s="3"/>
      <c r="K17" s="4"/>
      <c r="L17" s="3"/>
      <c r="M17" s="4"/>
      <c r="N17" s="4"/>
    </row>
    <row r="18" spans="1:14" outlineLevel="3" x14ac:dyDescent="0.35">
      <c r="A18" t="s">
        <v>27</v>
      </c>
      <c r="B18" t="s">
        <v>39</v>
      </c>
      <c r="C18" t="s">
        <v>44</v>
      </c>
      <c r="D18" t="s">
        <v>44</v>
      </c>
      <c r="E18">
        <v>1</v>
      </c>
      <c r="F18">
        <v>0</v>
      </c>
      <c r="G18" s="6">
        <v>0</v>
      </c>
      <c r="H18" s="7"/>
      <c r="I18" s="7"/>
      <c r="J18">
        <v>1</v>
      </c>
      <c r="K18" s="6">
        <v>100</v>
      </c>
      <c r="L18">
        <v>0</v>
      </c>
      <c r="M18" s="6">
        <v>0</v>
      </c>
      <c r="N18" s="6">
        <v>0</v>
      </c>
    </row>
    <row r="19" spans="1:14" outlineLevel="1" collapsed="1" x14ac:dyDescent="0.35">
      <c r="A19" s="3" t="s">
        <v>45</v>
      </c>
      <c r="B19" s="3"/>
      <c r="C19" s="3"/>
      <c r="D19" s="3"/>
      <c r="E19" s="3"/>
      <c r="F19" s="3"/>
      <c r="G19" s="4"/>
      <c r="H19" s="5"/>
      <c r="I19" s="5"/>
      <c r="J19" s="3"/>
      <c r="K19" s="4"/>
      <c r="L19" s="3"/>
      <c r="M19" s="4"/>
      <c r="N19" s="4"/>
    </row>
    <row r="20" spans="1:14" outlineLevel="2" collapsed="1" x14ac:dyDescent="0.35">
      <c r="A20" s="3" t="s">
        <v>26</v>
      </c>
      <c r="B20" s="3"/>
      <c r="C20" s="3"/>
      <c r="D20" s="3"/>
      <c r="E20" s="3"/>
      <c r="F20" s="3"/>
      <c r="G20" s="4"/>
      <c r="H20" s="5"/>
      <c r="I20" s="5"/>
      <c r="J20" s="3"/>
      <c r="K20" s="4"/>
      <c r="L20" s="3"/>
      <c r="M20" s="4"/>
      <c r="N20" s="4"/>
    </row>
    <row r="21" spans="1:14" outlineLevel="3" x14ac:dyDescent="0.35">
      <c r="A21" t="s">
        <v>46</v>
      </c>
      <c r="B21" t="s">
        <v>28</v>
      </c>
      <c r="C21" t="s">
        <v>29</v>
      </c>
      <c r="D21" t="s">
        <v>29</v>
      </c>
      <c r="E21">
        <v>2</v>
      </c>
      <c r="F21">
        <v>0</v>
      </c>
      <c r="G21" s="6">
        <v>0</v>
      </c>
      <c r="H21" s="7"/>
      <c r="I21" s="7"/>
      <c r="J21">
        <v>1</v>
      </c>
      <c r="K21" s="6">
        <v>50</v>
      </c>
      <c r="L21">
        <v>0</v>
      </c>
      <c r="M21" s="6">
        <v>0</v>
      </c>
      <c r="N21" s="6">
        <v>0</v>
      </c>
    </row>
    <row r="22" spans="1:14" outlineLevel="2" collapsed="1" x14ac:dyDescent="0.35">
      <c r="A22" s="3" t="s">
        <v>30</v>
      </c>
      <c r="B22" s="3"/>
      <c r="C22" s="3"/>
      <c r="D22" s="3"/>
      <c r="E22" s="3"/>
      <c r="F22" s="3"/>
      <c r="G22" s="4"/>
      <c r="H22" s="5"/>
      <c r="I22" s="5"/>
      <c r="J22" s="3"/>
      <c r="K22" s="4"/>
      <c r="L22" s="3"/>
      <c r="M22" s="4"/>
      <c r="N22" s="4"/>
    </row>
    <row r="23" spans="1:14" outlineLevel="3" x14ac:dyDescent="0.35">
      <c r="A23" t="s">
        <v>46</v>
      </c>
      <c r="B23" t="s">
        <v>28</v>
      </c>
      <c r="C23" t="s">
        <v>31</v>
      </c>
      <c r="D23" t="s">
        <v>47</v>
      </c>
      <c r="E23">
        <v>1</v>
      </c>
      <c r="F23">
        <v>1</v>
      </c>
      <c r="G23" s="6">
        <v>100</v>
      </c>
      <c r="H23" s="7">
        <v>3</v>
      </c>
      <c r="I23" s="7">
        <v>3</v>
      </c>
      <c r="J23">
        <v>0</v>
      </c>
      <c r="K23" s="6">
        <v>0</v>
      </c>
      <c r="L23">
        <v>0</v>
      </c>
      <c r="M23" s="6">
        <v>0</v>
      </c>
      <c r="N23" s="6">
        <v>0</v>
      </c>
    </row>
    <row r="24" spans="1:14" outlineLevel="2" collapsed="1" x14ac:dyDescent="0.35">
      <c r="A24" s="3" t="s">
        <v>33</v>
      </c>
      <c r="B24" s="3"/>
      <c r="C24" s="3"/>
      <c r="D24" s="3"/>
      <c r="E24" s="3"/>
      <c r="F24" s="3"/>
      <c r="G24" s="4"/>
      <c r="H24" s="5"/>
      <c r="I24" s="5"/>
      <c r="J24" s="3"/>
      <c r="K24" s="4"/>
      <c r="L24" s="3"/>
      <c r="M24" s="4"/>
      <c r="N24" s="4"/>
    </row>
    <row r="25" spans="1:14" outlineLevel="3" x14ac:dyDescent="0.35">
      <c r="A25" t="s">
        <v>46</v>
      </c>
      <c r="B25" t="s">
        <v>28</v>
      </c>
      <c r="C25" t="s">
        <v>34</v>
      </c>
      <c r="D25" t="s">
        <v>48</v>
      </c>
      <c r="E25">
        <v>1</v>
      </c>
      <c r="F25">
        <v>1</v>
      </c>
      <c r="G25" s="6">
        <v>100</v>
      </c>
      <c r="H25" s="7">
        <v>3</v>
      </c>
      <c r="I25" s="7">
        <v>3</v>
      </c>
      <c r="J25">
        <v>0</v>
      </c>
      <c r="K25" s="6">
        <v>0</v>
      </c>
      <c r="L25">
        <v>0</v>
      </c>
      <c r="M25" s="6">
        <v>0</v>
      </c>
      <c r="N25" s="6">
        <v>0</v>
      </c>
    </row>
    <row r="26" spans="1:14" outlineLevel="3" x14ac:dyDescent="0.35">
      <c r="A26" t="s">
        <v>46</v>
      </c>
      <c r="B26" t="s">
        <v>28</v>
      </c>
      <c r="C26" t="s">
        <v>34</v>
      </c>
      <c r="D26" t="s">
        <v>35</v>
      </c>
      <c r="E26">
        <v>3</v>
      </c>
      <c r="F26">
        <v>1</v>
      </c>
      <c r="G26" s="6">
        <v>33.33</v>
      </c>
      <c r="H26" s="7">
        <v>37</v>
      </c>
      <c r="I26" s="7">
        <v>37</v>
      </c>
      <c r="J26">
        <v>0</v>
      </c>
      <c r="K26" s="6">
        <v>0</v>
      </c>
      <c r="L26">
        <v>0</v>
      </c>
      <c r="M26" s="6">
        <v>0</v>
      </c>
      <c r="N26" s="6">
        <v>0</v>
      </c>
    </row>
    <row r="27" spans="1:14" outlineLevel="3" x14ac:dyDescent="0.35">
      <c r="A27" t="s">
        <v>46</v>
      </c>
      <c r="B27" t="s">
        <v>28</v>
      </c>
      <c r="C27" t="s">
        <v>34</v>
      </c>
      <c r="D27" t="s">
        <v>49</v>
      </c>
      <c r="E27">
        <v>15</v>
      </c>
      <c r="F27">
        <v>3</v>
      </c>
      <c r="G27" s="6">
        <v>20</v>
      </c>
      <c r="H27" s="7">
        <v>6</v>
      </c>
      <c r="I27" s="7">
        <v>6.67</v>
      </c>
      <c r="J27">
        <v>1</v>
      </c>
      <c r="K27" s="6">
        <v>6.67</v>
      </c>
      <c r="L27">
        <v>0</v>
      </c>
      <c r="M27" s="6">
        <v>0</v>
      </c>
      <c r="N27" s="6">
        <v>0</v>
      </c>
    </row>
    <row r="28" spans="1:14" outlineLevel="2" collapsed="1" x14ac:dyDescent="0.35">
      <c r="A28" s="3" t="s">
        <v>50</v>
      </c>
      <c r="B28" s="3"/>
      <c r="C28" s="3"/>
      <c r="D28" s="3"/>
      <c r="E28" s="3"/>
      <c r="F28" s="3"/>
      <c r="G28" s="4"/>
      <c r="H28" s="5"/>
      <c r="I28" s="5"/>
      <c r="J28" s="3"/>
      <c r="K28" s="4"/>
      <c r="L28" s="3"/>
      <c r="M28" s="4"/>
      <c r="N28" s="4"/>
    </row>
    <row r="29" spans="1:14" outlineLevel="3" x14ac:dyDescent="0.35">
      <c r="A29" t="s">
        <v>46</v>
      </c>
      <c r="B29" t="s">
        <v>28</v>
      </c>
      <c r="C29" t="s">
        <v>51</v>
      </c>
      <c r="D29" t="s">
        <v>51</v>
      </c>
      <c r="E29">
        <v>1</v>
      </c>
      <c r="F29">
        <v>0</v>
      </c>
      <c r="G29" s="6">
        <v>0</v>
      </c>
      <c r="H29" s="7"/>
      <c r="I29" s="7"/>
      <c r="J29">
        <v>0</v>
      </c>
      <c r="K29" s="6">
        <v>0</v>
      </c>
      <c r="L29">
        <v>0</v>
      </c>
      <c r="M29" s="6">
        <v>0</v>
      </c>
      <c r="N29" s="6">
        <v>0</v>
      </c>
    </row>
    <row r="30" spans="1:14" outlineLevel="2" collapsed="1" x14ac:dyDescent="0.35">
      <c r="A30" s="3" t="s">
        <v>38</v>
      </c>
      <c r="B30" s="3"/>
      <c r="C30" s="3"/>
      <c r="D30" s="3"/>
      <c r="E30" s="3"/>
      <c r="F30" s="3"/>
      <c r="G30" s="4"/>
      <c r="H30" s="5"/>
      <c r="I30" s="5"/>
      <c r="J30" s="3"/>
      <c r="K30" s="4"/>
      <c r="L30" s="3"/>
      <c r="M30" s="4"/>
      <c r="N30" s="4"/>
    </row>
    <row r="31" spans="1:14" outlineLevel="3" x14ac:dyDescent="0.35">
      <c r="A31" t="s">
        <v>46</v>
      </c>
      <c r="B31" t="s">
        <v>39</v>
      </c>
      <c r="C31" t="s">
        <v>40</v>
      </c>
      <c r="D31" t="s">
        <v>40</v>
      </c>
      <c r="E31">
        <v>177</v>
      </c>
      <c r="F31">
        <v>13</v>
      </c>
      <c r="G31" s="6">
        <v>7.34</v>
      </c>
      <c r="H31" s="7">
        <v>14</v>
      </c>
      <c r="I31" s="7">
        <v>59.13</v>
      </c>
      <c r="J31">
        <v>0</v>
      </c>
      <c r="K31" s="6">
        <v>0</v>
      </c>
      <c r="L31">
        <v>0</v>
      </c>
      <c r="M31" s="6">
        <v>0</v>
      </c>
      <c r="N31" s="6">
        <v>0</v>
      </c>
    </row>
    <row r="32" spans="1:14" outlineLevel="2" collapsed="1" x14ac:dyDescent="0.35">
      <c r="A32" s="3" t="s">
        <v>41</v>
      </c>
      <c r="B32" s="3"/>
      <c r="C32" s="3"/>
      <c r="D32" s="3"/>
      <c r="E32" s="3"/>
      <c r="F32" s="3"/>
      <c r="G32" s="4"/>
      <c r="H32" s="5"/>
      <c r="I32" s="5"/>
      <c r="J32" s="3"/>
      <c r="K32" s="4"/>
      <c r="L32" s="3"/>
      <c r="M32" s="4"/>
      <c r="N32" s="4"/>
    </row>
    <row r="33" spans="1:14" outlineLevel="3" x14ac:dyDescent="0.35">
      <c r="A33" t="s">
        <v>46</v>
      </c>
      <c r="B33" t="s">
        <v>39</v>
      </c>
      <c r="C33" t="s">
        <v>42</v>
      </c>
      <c r="D33" t="s">
        <v>42</v>
      </c>
      <c r="E33">
        <v>14</v>
      </c>
      <c r="F33">
        <v>3</v>
      </c>
      <c r="G33" s="6">
        <v>21.43</v>
      </c>
      <c r="H33" s="7">
        <v>7</v>
      </c>
      <c r="I33" s="7">
        <v>8.33</v>
      </c>
      <c r="J33">
        <v>0</v>
      </c>
      <c r="K33" s="6">
        <v>0</v>
      </c>
      <c r="L33">
        <v>0</v>
      </c>
      <c r="M33" s="6">
        <v>0</v>
      </c>
      <c r="N33" s="6">
        <v>0</v>
      </c>
    </row>
    <row r="34" spans="1:14" outlineLevel="2" collapsed="1" x14ac:dyDescent="0.35">
      <c r="A34" s="3" t="s">
        <v>43</v>
      </c>
      <c r="B34" s="3"/>
      <c r="C34" s="3"/>
      <c r="D34" s="3"/>
      <c r="E34" s="3"/>
      <c r="F34" s="3"/>
      <c r="G34" s="4"/>
      <c r="H34" s="5"/>
      <c r="I34" s="5"/>
      <c r="J34" s="3"/>
      <c r="K34" s="4"/>
      <c r="L34" s="3"/>
      <c r="M34" s="4"/>
      <c r="N34" s="4"/>
    </row>
    <row r="35" spans="1:14" outlineLevel="3" x14ac:dyDescent="0.35">
      <c r="A35" t="s">
        <v>46</v>
      </c>
      <c r="B35" t="s">
        <v>39</v>
      </c>
      <c r="C35" t="s">
        <v>44</v>
      </c>
      <c r="D35" t="s">
        <v>44</v>
      </c>
      <c r="E35">
        <v>1</v>
      </c>
      <c r="F35">
        <v>1</v>
      </c>
      <c r="G35" s="6">
        <v>100</v>
      </c>
      <c r="H35" s="7">
        <v>18</v>
      </c>
      <c r="I35" s="7">
        <v>18</v>
      </c>
      <c r="J35">
        <v>0</v>
      </c>
      <c r="K35" s="6">
        <v>0</v>
      </c>
      <c r="L35">
        <v>0</v>
      </c>
      <c r="M35" s="6">
        <v>0</v>
      </c>
      <c r="N35" s="6">
        <v>0</v>
      </c>
    </row>
    <row r="36" spans="1:14" outlineLevel="1" collapsed="1" x14ac:dyDescent="0.35">
      <c r="A36" s="3" t="s">
        <v>52</v>
      </c>
      <c r="B36" s="3"/>
      <c r="C36" s="3"/>
      <c r="D36" s="3"/>
      <c r="E36" s="3"/>
      <c r="F36" s="3"/>
      <c r="G36" s="4"/>
      <c r="H36" s="5"/>
      <c r="I36" s="5"/>
      <c r="J36" s="3"/>
      <c r="K36" s="4"/>
      <c r="L36" s="3"/>
      <c r="M36" s="4"/>
      <c r="N36" s="4"/>
    </row>
    <row r="37" spans="1:14" outlineLevel="2" collapsed="1" x14ac:dyDescent="0.35">
      <c r="A37" s="3" t="s">
        <v>53</v>
      </c>
      <c r="B37" s="3"/>
      <c r="C37" s="3"/>
      <c r="D37" s="3"/>
      <c r="E37" s="3"/>
      <c r="F37" s="3"/>
      <c r="G37" s="4"/>
      <c r="H37" s="5"/>
      <c r="I37" s="5"/>
      <c r="J37" s="3"/>
      <c r="K37" s="4"/>
      <c r="L37" s="3"/>
      <c r="M37" s="4"/>
      <c r="N37" s="4"/>
    </row>
    <row r="38" spans="1:14" outlineLevel="3" x14ac:dyDescent="0.35">
      <c r="A38" t="s">
        <v>54</v>
      </c>
      <c r="B38" t="s">
        <v>28</v>
      </c>
      <c r="C38" t="s">
        <v>55</v>
      </c>
      <c r="D38" t="s">
        <v>55</v>
      </c>
      <c r="E38">
        <v>1</v>
      </c>
      <c r="F38">
        <v>1</v>
      </c>
      <c r="G38" s="6">
        <v>100</v>
      </c>
      <c r="H38" s="7">
        <v>34</v>
      </c>
      <c r="I38" s="7">
        <v>34</v>
      </c>
      <c r="J38">
        <v>0</v>
      </c>
      <c r="K38" s="6">
        <v>0</v>
      </c>
      <c r="L38">
        <v>0</v>
      </c>
      <c r="M38" s="6">
        <v>0</v>
      </c>
      <c r="N38" s="6">
        <v>0</v>
      </c>
    </row>
    <row r="39" spans="1:14" outlineLevel="2" collapsed="1" x14ac:dyDescent="0.35">
      <c r="A39" s="3" t="s">
        <v>30</v>
      </c>
      <c r="B39" s="3"/>
      <c r="C39" s="3"/>
      <c r="D39" s="3"/>
      <c r="E39" s="3"/>
      <c r="F39" s="3"/>
      <c r="G39" s="4"/>
      <c r="H39" s="5"/>
      <c r="I39" s="5"/>
      <c r="J39" s="3"/>
      <c r="K39" s="4"/>
      <c r="L39" s="3"/>
      <c r="M39" s="4"/>
      <c r="N39" s="4"/>
    </row>
    <row r="40" spans="1:14" outlineLevel="3" x14ac:dyDescent="0.35">
      <c r="A40" t="s">
        <v>54</v>
      </c>
      <c r="B40" t="s">
        <v>28</v>
      </c>
      <c r="C40" t="s">
        <v>31</v>
      </c>
      <c r="D40" t="s">
        <v>47</v>
      </c>
      <c r="E40">
        <v>1</v>
      </c>
      <c r="F40">
        <v>1</v>
      </c>
      <c r="G40" s="6">
        <v>100</v>
      </c>
      <c r="H40" s="7">
        <v>5</v>
      </c>
      <c r="I40" s="7">
        <v>5</v>
      </c>
      <c r="J40">
        <v>0</v>
      </c>
      <c r="K40" s="6">
        <v>0</v>
      </c>
      <c r="L40">
        <v>0</v>
      </c>
      <c r="M40" s="6">
        <v>0</v>
      </c>
      <c r="N40" s="6">
        <v>0</v>
      </c>
    </row>
    <row r="41" spans="1:14" outlineLevel="3" x14ac:dyDescent="0.35">
      <c r="A41" t="s">
        <v>54</v>
      </c>
      <c r="B41" t="s">
        <v>28</v>
      </c>
      <c r="C41" t="s">
        <v>31</v>
      </c>
      <c r="D41" t="s">
        <v>31</v>
      </c>
      <c r="E41">
        <v>1</v>
      </c>
      <c r="F41">
        <v>0</v>
      </c>
      <c r="G41" s="6">
        <v>0</v>
      </c>
      <c r="H41" s="7"/>
      <c r="I41" s="7"/>
      <c r="J41">
        <v>0</v>
      </c>
      <c r="K41" s="6">
        <v>0</v>
      </c>
      <c r="L41">
        <v>0</v>
      </c>
      <c r="M41" s="6">
        <v>0</v>
      </c>
      <c r="N41" s="6">
        <v>0</v>
      </c>
    </row>
    <row r="42" spans="1:14" outlineLevel="2" collapsed="1" x14ac:dyDescent="0.35">
      <c r="A42" s="3" t="s">
        <v>33</v>
      </c>
      <c r="B42" s="3"/>
      <c r="C42" s="3"/>
      <c r="D42" s="3"/>
      <c r="E42" s="3"/>
      <c r="F42" s="3"/>
      <c r="G42" s="4"/>
      <c r="H42" s="5"/>
      <c r="I42" s="5"/>
      <c r="J42" s="3"/>
      <c r="K42" s="4"/>
      <c r="L42" s="3"/>
      <c r="M42" s="4"/>
      <c r="N42" s="4"/>
    </row>
    <row r="43" spans="1:14" outlineLevel="3" x14ac:dyDescent="0.35">
      <c r="A43" t="s">
        <v>54</v>
      </c>
      <c r="B43" t="s">
        <v>28</v>
      </c>
      <c r="C43" t="s">
        <v>34</v>
      </c>
      <c r="D43" t="s">
        <v>56</v>
      </c>
      <c r="E43">
        <v>2</v>
      </c>
      <c r="F43">
        <v>0</v>
      </c>
      <c r="G43" s="6">
        <v>0</v>
      </c>
      <c r="H43" s="7"/>
      <c r="I43" s="7"/>
      <c r="J43">
        <v>0</v>
      </c>
      <c r="K43" s="6">
        <v>0</v>
      </c>
      <c r="L43">
        <v>0</v>
      </c>
      <c r="M43" s="6">
        <v>0</v>
      </c>
      <c r="N43" s="6">
        <v>0</v>
      </c>
    </row>
    <row r="44" spans="1:14" outlineLevel="3" x14ac:dyDescent="0.35">
      <c r="A44" t="s">
        <v>54</v>
      </c>
      <c r="B44" t="s">
        <v>28</v>
      </c>
      <c r="C44" t="s">
        <v>34</v>
      </c>
      <c r="D44" t="s">
        <v>57</v>
      </c>
      <c r="E44">
        <v>1</v>
      </c>
      <c r="F44">
        <v>0</v>
      </c>
      <c r="G44" s="6">
        <v>0</v>
      </c>
      <c r="H44" s="7"/>
      <c r="I44" s="7"/>
      <c r="J44">
        <v>0</v>
      </c>
      <c r="K44" s="6">
        <v>0</v>
      </c>
      <c r="L44">
        <v>0</v>
      </c>
      <c r="M44" s="6">
        <v>0</v>
      </c>
      <c r="N44" s="6">
        <v>0</v>
      </c>
    </row>
    <row r="45" spans="1:14" outlineLevel="3" x14ac:dyDescent="0.35">
      <c r="A45" t="s">
        <v>54</v>
      </c>
      <c r="B45" t="s">
        <v>28</v>
      </c>
      <c r="C45" t="s">
        <v>34</v>
      </c>
      <c r="D45" t="s">
        <v>58</v>
      </c>
      <c r="E45">
        <v>1</v>
      </c>
      <c r="F45">
        <v>0</v>
      </c>
      <c r="G45" s="6">
        <v>0</v>
      </c>
      <c r="H45" s="7"/>
      <c r="I45" s="7"/>
      <c r="J45">
        <v>0</v>
      </c>
      <c r="K45" s="6">
        <v>0</v>
      </c>
      <c r="L45">
        <v>0</v>
      </c>
      <c r="M45" s="6">
        <v>0</v>
      </c>
      <c r="N45" s="6">
        <v>0</v>
      </c>
    </row>
    <row r="46" spans="1:14" outlineLevel="3" x14ac:dyDescent="0.35">
      <c r="A46" t="s">
        <v>54</v>
      </c>
      <c r="B46" t="s">
        <v>28</v>
      </c>
      <c r="C46" t="s">
        <v>34</v>
      </c>
      <c r="D46" t="s">
        <v>59</v>
      </c>
      <c r="E46">
        <v>2</v>
      </c>
      <c r="F46">
        <v>0</v>
      </c>
      <c r="G46" s="6">
        <v>0</v>
      </c>
      <c r="H46" s="7"/>
      <c r="I46" s="7"/>
      <c r="J46">
        <v>0</v>
      </c>
      <c r="K46" s="6">
        <v>0</v>
      </c>
      <c r="L46">
        <v>0</v>
      </c>
      <c r="M46" s="6">
        <v>0</v>
      </c>
      <c r="N46" s="6">
        <v>0</v>
      </c>
    </row>
    <row r="47" spans="1:14" outlineLevel="3" x14ac:dyDescent="0.35">
      <c r="A47" t="s">
        <v>54</v>
      </c>
      <c r="B47" t="s">
        <v>28</v>
      </c>
      <c r="C47" t="s">
        <v>34</v>
      </c>
      <c r="D47" t="s">
        <v>60</v>
      </c>
      <c r="E47">
        <v>1</v>
      </c>
      <c r="F47">
        <v>0</v>
      </c>
      <c r="G47" s="6">
        <v>0</v>
      </c>
      <c r="H47" s="7"/>
      <c r="I47" s="7"/>
      <c r="J47">
        <v>0</v>
      </c>
      <c r="K47" s="6">
        <v>0</v>
      </c>
      <c r="L47">
        <v>0</v>
      </c>
      <c r="M47" s="6">
        <v>0</v>
      </c>
      <c r="N47" s="6">
        <v>0</v>
      </c>
    </row>
    <row r="48" spans="1:14" outlineLevel="3" x14ac:dyDescent="0.35">
      <c r="A48" t="s">
        <v>54</v>
      </c>
      <c r="B48" t="s">
        <v>28</v>
      </c>
      <c r="C48" t="s">
        <v>34</v>
      </c>
      <c r="D48" t="s">
        <v>35</v>
      </c>
      <c r="E48">
        <v>4</v>
      </c>
      <c r="F48">
        <v>1</v>
      </c>
      <c r="G48" s="6">
        <v>25</v>
      </c>
      <c r="H48" s="7">
        <v>3</v>
      </c>
      <c r="I48" s="7">
        <v>3</v>
      </c>
      <c r="J48">
        <v>0</v>
      </c>
      <c r="K48" s="6">
        <v>0</v>
      </c>
      <c r="L48">
        <v>0</v>
      </c>
      <c r="M48" s="6">
        <v>0</v>
      </c>
      <c r="N48" s="6">
        <v>0</v>
      </c>
    </row>
    <row r="49" spans="1:14" outlineLevel="3" x14ac:dyDescent="0.35">
      <c r="A49" t="s">
        <v>54</v>
      </c>
      <c r="B49" t="s">
        <v>28</v>
      </c>
      <c r="C49" t="s">
        <v>34</v>
      </c>
      <c r="D49" t="s">
        <v>49</v>
      </c>
      <c r="E49">
        <v>8</v>
      </c>
      <c r="F49">
        <v>0</v>
      </c>
      <c r="G49" s="6">
        <v>0</v>
      </c>
      <c r="H49" s="7"/>
      <c r="I49" s="7"/>
      <c r="J49">
        <v>0</v>
      </c>
      <c r="K49" s="6">
        <v>0</v>
      </c>
      <c r="L49">
        <v>0</v>
      </c>
      <c r="M49" s="6">
        <v>0</v>
      </c>
      <c r="N49" s="6">
        <v>0</v>
      </c>
    </row>
    <row r="50" spans="1:14" outlineLevel="3" x14ac:dyDescent="0.35">
      <c r="A50" t="s">
        <v>54</v>
      </c>
      <c r="B50" t="s">
        <v>28</v>
      </c>
      <c r="C50" t="s">
        <v>34</v>
      </c>
      <c r="D50" t="s">
        <v>61</v>
      </c>
      <c r="E50">
        <v>1</v>
      </c>
      <c r="F50">
        <v>0</v>
      </c>
      <c r="G50" s="6">
        <v>0</v>
      </c>
      <c r="H50" s="7"/>
      <c r="I50" s="7"/>
      <c r="J50">
        <v>0</v>
      </c>
      <c r="K50" s="6">
        <v>0</v>
      </c>
      <c r="L50">
        <v>0</v>
      </c>
      <c r="M50" s="6">
        <v>0</v>
      </c>
      <c r="N50" s="6">
        <v>0</v>
      </c>
    </row>
    <row r="51" spans="1:14" outlineLevel="2" collapsed="1" x14ac:dyDescent="0.35">
      <c r="A51" s="3" t="s">
        <v>36</v>
      </c>
      <c r="B51" s="3"/>
      <c r="C51" s="3"/>
      <c r="D51" s="3"/>
      <c r="E51" s="3"/>
      <c r="F51" s="3"/>
      <c r="G51" s="4"/>
      <c r="H51" s="5"/>
      <c r="I51" s="5"/>
      <c r="J51" s="3"/>
      <c r="K51" s="4"/>
      <c r="L51" s="3"/>
      <c r="M51" s="4"/>
      <c r="N51" s="4"/>
    </row>
    <row r="52" spans="1:14" outlineLevel="3" x14ac:dyDescent="0.35">
      <c r="A52" t="s">
        <v>54</v>
      </c>
      <c r="B52" t="s">
        <v>28</v>
      </c>
      <c r="C52" t="s">
        <v>37</v>
      </c>
      <c r="D52" t="s">
        <v>37</v>
      </c>
      <c r="E52">
        <v>2</v>
      </c>
      <c r="F52">
        <v>2</v>
      </c>
      <c r="G52" s="6">
        <v>100</v>
      </c>
      <c r="H52" s="7">
        <v>4</v>
      </c>
      <c r="I52" s="7">
        <v>4</v>
      </c>
      <c r="J52">
        <v>0</v>
      </c>
      <c r="K52" s="6">
        <v>0</v>
      </c>
      <c r="L52">
        <v>0</v>
      </c>
      <c r="M52" s="6">
        <v>0</v>
      </c>
      <c r="N52" s="6">
        <v>0</v>
      </c>
    </row>
    <row r="53" spans="1:14" outlineLevel="2" collapsed="1" x14ac:dyDescent="0.35">
      <c r="A53" s="3" t="s">
        <v>50</v>
      </c>
      <c r="B53" s="3"/>
      <c r="C53" s="3"/>
      <c r="D53" s="3"/>
      <c r="E53" s="3"/>
      <c r="F53" s="3"/>
      <c r="G53" s="4"/>
      <c r="H53" s="5"/>
      <c r="I53" s="5"/>
      <c r="J53" s="3"/>
      <c r="K53" s="4"/>
      <c r="L53" s="3"/>
      <c r="M53" s="4"/>
      <c r="N53" s="4"/>
    </row>
    <row r="54" spans="1:14" outlineLevel="3" x14ac:dyDescent="0.35">
      <c r="A54" t="s">
        <v>54</v>
      </c>
      <c r="B54" t="s">
        <v>28</v>
      </c>
      <c r="C54" t="s">
        <v>51</v>
      </c>
      <c r="D54" t="s">
        <v>51</v>
      </c>
      <c r="E54">
        <v>1</v>
      </c>
      <c r="F54">
        <v>0</v>
      </c>
      <c r="G54" s="6">
        <v>0</v>
      </c>
      <c r="H54" s="7"/>
      <c r="I54" s="7"/>
      <c r="J54">
        <v>0</v>
      </c>
      <c r="K54" s="6">
        <v>0</v>
      </c>
      <c r="L54">
        <v>0</v>
      </c>
      <c r="M54" s="6">
        <v>0</v>
      </c>
      <c r="N54" s="6">
        <v>0</v>
      </c>
    </row>
    <row r="55" spans="1:14" outlineLevel="2" collapsed="1" x14ac:dyDescent="0.35">
      <c r="A55" s="3" t="s">
        <v>62</v>
      </c>
      <c r="B55" s="3"/>
      <c r="C55" s="3"/>
      <c r="D55" s="3"/>
      <c r="E55" s="3"/>
      <c r="F55" s="3"/>
      <c r="G55" s="4"/>
      <c r="H55" s="5"/>
      <c r="I55" s="5"/>
      <c r="J55" s="3"/>
      <c r="K55" s="4"/>
      <c r="L55" s="3"/>
      <c r="M55" s="4"/>
      <c r="N55" s="4"/>
    </row>
    <row r="56" spans="1:14" outlineLevel="3" x14ac:dyDescent="0.35">
      <c r="A56" t="s">
        <v>54</v>
      </c>
      <c r="B56" t="s">
        <v>28</v>
      </c>
      <c r="C56" t="s">
        <v>63</v>
      </c>
      <c r="D56" t="s">
        <v>64</v>
      </c>
      <c r="E56">
        <v>2</v>
      </c>
      <c r="F56">
        <v>1</v>
      </c>
      <c r="G56" s="6">
        <v>50</v>
      </c>
      <c r="H56" s="7">
        <v>24</v>
      </c>
      <c r="I56" s="7">
        <v>24</v>
      </c>
      <c r="J56">
        <v>0</v>
      </c>
      <c r="K56" s="6">
        <v>0</v>
      </c>
      <c r="L56">
        <v>0</v>
      </c>
      <c r="M56" s="6">
        <v>0</v>
      </c>
      <c r="N56" s="6">
        <v>0</v>
      </c>
    </row>
    <row r="57" spans="1:14" outlineLevel="3" x14ac:dyDescent="0.35">
      <c r="A57" t="s">
        <v>54</v>
      </c>
      <c r="B57" t="s">
        <v>28</v>
      </c>
      <c r="C57" t="s">
        <v>63</v>
      </c>
      <c r="D57" t="s">
        <v>65</v>
      </c>
      <c r="E57">
        <v>1</v>
      </c>
      <c r="F57">
        <v>1</v>
      </c>
      <c r="G57" s="6">
        <v>100</v>
      </c>
      <c r="H57" s="7">
        <v>12</v>
      </c>
      <c r="I57" s="7">
        <v>12</v>
      </c>
      <c r="J57">
        <v>0</v>
      </c>
      <c r="K57" s="6">
        <v>0</v>
      </c>
      <c r="L57">
        <v>0</v>
      </c>
      <c r="M57" s="6">
        <v>0</v>
      </c>
      <c r="N57" s="6">
        <v>0</v>
      </c>
    </row>
    <row r="58" spans="1:14" outlineLevel="3" x14ac:dyDescent="0.35">
      <c r="A58" t="s">
        <v>54</v>
      </c>
      <c r="B58" t="s">
        <v>28</v>
      </c>
      <c r="C58" t="s">
        <v>63</v>
      </c>
      <c r="D58" t="s">
        <v>66</v>
      </c>
      <c r="E58">
        <v>1</v>
      </c>
      <c r="F58">
        <v>0</v>
      </c>
      <c r="G58" s="6">
        <v>0</v>
      </c>
      <c r="H58" s="7"/>
      <c r="I58" s="7"/>
      <c r="J58">
        <v>0</v>
      </c>
      <c r="K58" s="6">
        <v>0</v>
      </c>
      <c r="L58">
        <v>0</v>
      </c>
      <c r="M58" s="6">
        <v>0</v>
      </c>
      <c r="N58" s="6">
        <v>0</v>
      </c>
    </row>
    <row r="59" spans="1:14" outlineLevel="2" collapsed="1" x14ac:dyDescent="0.35">
      <c r="A59" s="3" t="s">
        <v>38</v>
      </c>
      <c r="B59" s="3"/>
      <c r="C59" s="3"/>
      <c r="D59" s="3"/>
      <c r="E59" s="3"/>
      <c r="F59" s="3"/>
      <c r="G59" s="4"/>
      <c r="H59" s="5"/>
      <c r="I59" s="5"/>
      <c r="J59" s="3"/>
      <c r="K59" s="4"/>
      <c r="L59" s="3"/>
      <c r="M59" s="4"/>
      <c r="N59" s="4"/>
    </row>
    <row r="60" spans="1:14" outlineLevel="3" x14ac:dyDescent="0.35">
      <c r="A60" t="s">
        <v>54</v>
      </c>
      <c r="B60" t="s">
        <v>39</v>
      </c>
      <c r="C60" t="s">
        <v>40</v>
      </c>
      <c r="D60" t="s">
        <v>40</v>
      </c>
      <c r="E60">
        <v>150</v>
      </c>
      <c r="F60">
        <v>11</v>
      </c>
      <c r="G60" s="6">
        <v>7.33</v>
      </c>
      <c r="H60" s="7">
        <v>16</v>
      </c>
      <c r="I60" s="7">
        <v>28.73</v>
      </c>
      <c r="J60">
        <v>0</v>
      </c>
      <c r="K60" s="6">
        <v>0</v>
      </c>
      <c r="L60">
        <v>0</v>
      </c>
      <c r="M60" s="6">
        <v>0</v>
      </c>
      <c r="N60" s="6">
        <v>0</v>
      </c>
    </row>
    <row r="61" spans="1:14" outlineLevel="2" collapsed="1" x14ac:dyDescent="0.35">
      <c r="A61" s="3" t="s">
        <v>67</v>
      </c>
      <c r="B61" s="3"/>
      <c r="C61" s="3"/>
      <c r="D61" s="3"/>
      <c r="E61" s="3"/>
      <c r="F61" s="3"/>
      <c r="G61" s="4"/>
      <c r="H61" s="5"/>
      <c r="I61" s="5"/>
      <c r="J61" s="3"/>
      <c r="K61" s="4"/>
      <c r="L61" s="3"/>
      <c r="M61" s="4"/>
      <c r="N61" s="4"/>
    </row>
    <row r="62" spans="1:14" outlineLevel="3" x14ac:dyDescent="0.35">
      <c r="A62" t="s">
        <v>54</v>
      </c>
      <c r="B62" t="s">
        <v>39</v>
      </c>
      <c r="C62" t="s">
        <v>68</v>
      </c>
      <c r="D62" t="s">
        <v>68</v>
      </c>
      <c r="E62">
        <v>1</v>
      </c>
      <c r="F62">
        <v>1</v>
      </c>
      <c r="G62" s="6">
        <v>100</v>
      </c>
      <c r="H62" s="7">
        <v>9</v>
      </c>
      <c r="I62" s="7">
        <v>9</v>
      </c>
      <c r="J62">
        <v>0</v>
      </c>
      <c r="K62" s="6">
        <v>0</v>
      </c>
      <c r="L62">
        <v>0</v>
      </c>
      <c r="M62" s="6">
        <v>0</v>
      </c>
      <c r="N62" s="6">
        <v>0</v>
      </c>
    </row>
    <row r="63" spans="1:14" outlineLevel="2" collapsed="1" x14ac:dyDescent="0.35">
      <c r="A63" s="3" t="s">
        <v>41</v>
      </c>
      <c r="B63" s="3"/>
      <c r="C63" s="3"/>
      <c r="D63" s="3"/>
      <c r="E63" s="3"/>
      <c r="F63" s="3"/>
      <c r="G63" s="4"/>
      <c r="H63" s="5"/>
      <c r="I63" s="5"/>
      <c r="J63" s="3"/>
      <c r="K63" s="4"/>
      <c r="L63" s="3"/>
      <c r="M63" s="4"/>
      <c r="N63" s="4"/>
    </row>
    <row r="64" spans="1:14" outlineLevel="3" x14ac:dyDescent="0.35">
      <c r="A64" t="s">
        <v>54</v>
      </c>
      <c r="B64" t="s">
        <v>39</v>
      </c>
      <c r="C64" t="s">
        <v>42</v>
      </c>
      <c r="D64" t="s">
        <v>42</v>
      </c>
      <c r="E64">
        <v>2</v>
      </c>
      <c r="F64">
        <v>0</v>
      </c>
      <c r="G64" s="6">
        <v>0</v>
      </c>
      <c r="H64" s="7"/>
      <c r="I64" s="7"/>
      <c r="J64">
        <v>0</v>
      </c>
      <c r="K64" s="6">
        <v>0</v>
      </c>
      <c r="L64">
        <v>0</v>
      </c>
      <c r="M64" s="6">
        <v>0</v>
      </c>
      <c r="N64" s="6">
        <v>0</v>
      </c>
    </row>
    <row r="65" spans="1:14" outlineLevel="1" collapsed="1" x14ac:dyDescent="0.35">
      <c r="A65" s="3" t="s">
        <v>69</v>
      </c>
      <c r="B65" s="3"/>
      <c r="C65" s="3"/>
      <c r="D65" s="3"/>
      <c r="E65" s="3"/>
      <c r="F65" s="3"/>
      <c r="G65" s="4"/>
      <c r="H65" s="5"/>
      <c r="I65" s="5"/>
      <c r="J65" s="3"/>
      <c r="K65" s="4"/>
      <c r="L65" s="3"/>
      <c r="M65" s="4"/>
      <c r="N65" s="4"/>
    </row>
    <row r="66" spans="1:14" outlineLevel="2" collapsed="1" x14ac:dyDescent="0.35">
      <c r="A66" s="3" t="s">
        <v>26</v>
      </c>
      <c r="B66" s="3"/>
      <c r="C66" s="3"/>
      <c r="D66" s="3"/>
      <c r="E66" s="3"/>
      <c r="F66" s="3"/>
      <c r="G66" s="4"/>
      <c r="H66" s="5"/>
      <c r="I66" s="5"/>
      <c r="J66" s="3"/>
      <c r="K66" s="4"/>
      <c r="L66" s="3"/>
      <c r="M66" s="4"/>
      <c r="N66" s="4"/>
    </row>
    <row r="67" spans="1:14" outlineLevel="3" x14ac:dyDescent="0.35">
      <c r="A67" t="s">
        <v>70</v>
      </c>
      <c r="B67" t="s">
        <v>28</v>
      </c>
      <c r="C67" t="s">
        <v>29</v>
      </c>
      <c r="D67" t="s">
        <v>29</v>
      </c>
      <c r="E67">
        <v>2</v>
      </c>
      <c r="F67">
        <v>1</v>
      </c>
      <c r="G67" s="6">
        <v>50</v>
      </c>
      <c r="H67" s="7">
        <v>1</v>
      </c>
      <c r="I67" s="7">
        <v>1</v>
      </c>
      <c r="J67">
        <v>0</v>
      </c>
      <c r="K67" s="6">
        <v>0</v>
      </c>
      <c r="L67">
        <v>0</v>
      </c>
      <c r="M67" s="6">
        <v>0</v>
      </c>
      <c r="N67" s="6">
        <v>0</v>
      </c>
    </row>
    <row r="68" spans="1:14" outlineLevel="2" collapsed="1" x14ac:dyDescent="0.35">
      <c r="A68" s="3" t="s">
        <v>71</v>
      </c>
      <c r="B68" s="3"/>
      <c r="C68" s="3"/>
      <c r="D68" s="3"/>
      <c r="E68" s="3"/>
      <c r="F68" s="3"/>
      <c r="G68" s="4"/>
      <c r="H68" s="5"/>
      <c r="I68" s="5"/>
      <c r="J68" s="3"/>
      <c r="K68" s="4"/>
      <c r="L68" s="3"/>
      <c r="M68" s="4"/>
      <c r="N68" s="4"/>
    </row>
    <row r="69" spans="1:14" outlineLevel="3" x14ac:dyDescent="0.35">
      <c r="A69" t="s">
        <v>70</v>
      </c>
      <c r="B69" t="s">
        <v>28</v>
      </c>
      <c r="C69" t="s">
        <v>72</v>
      </c>
      <c r="D69" t="s">
        <v>73</v>
      </c>
      <c r="E69">
        <v>73</v>
      </c>
      <c r="F69">
        <v>2</v>
      </c>
      <c r="G69" s="6">
        <v>2.74</v>
      </c>
      <c r="H69" s="7">
        <v>52</v>
      </c>
      <c r="I69" s="7">
        <v>110.33</v>
      </c>
      <c r="J69">
        <v>0</v>
      </c>
      <c r="K69" s="6">
        <v>0</v>
      </c>
      <c r="L69">
        <v>0</v>
      </c>
      <c r="M69" s="6">
        <v>0</v>
      </c>
      <c r="N69" s="6">
        <v>0</v>
      </c>
    </row>
    <row r="70" spans="1:14" outlineLevel="2" collapsed="1" x14ac:dyDescent="0.35">
      <c r="A70" s="3" t="s">
        <v>74</v>
      </c>
      <c r="B70" s="3"/>
      <c r="C70" s="3"/>
      <c r="D70" s="3"/>
      <c r="E70" s="3"/>
      <c r="F70" s="3"/>
      <c r="G70" s="4"/>
      <c r="H70" s="5"/>
      <c r="I70" s="5"/>
      <c r="J70" s="3"/>
      <c r="K70" s="4"/>
      <c r="L70" s="3"/>
      <c r="M70" s="4"/>
      <c r="N70" s="4"/>
    </row>
    <row r="71" spans="1:14" outlineLevel="3" x14ac:dyDescent="0.35">
      <c r="A71" t="s">
        <v>70</v>
      </c>
      <c r="B71" t="s">
        <v>28</v>
      </c>
      <c r="C71" t="s">
        <v>75</v>
      </c>
      <c r="D71" t="s">
        <v>75</v>
      </c>
      <c r="E71">
        <v>2</v>
      </c>
      <c r="F71">
        <v>0</v>
      </c>
      <c r="G71" s="6">
        <v>0</v>
      </c>
      <c r="H71" s="7"/>
      <c r="I71" s="7"/>
      <c r="J71">
        <v>0</v>
      </c>
      <c r="K71" s="6">
        <v>0</v>
      </c>
      <c r="L71">
        <v>0</v>
      </c>
      <c r="M71" s="6">
        <v>0</v>
      </c>
      <c r="N71" s="6">
        <v>0</v>
      </c>
    </row>
    <row r="72" spans="1:14" outlineLevel="2" collapsed="1" x14ac:dyDescent="0.35">
      <c r="A72" s="3" t="s">
        <v>30</v>
      </c>
      <c r="B72" s="3"/>
      <c r="C72" s="3"/>
      <c r="D72" s="3"/>
      <c r="E72" s="3"/>
      <c r="F72" s="3"/>
      <c r="G72" s="4"/>
      <c r="H72" s="5"/>
      <c r="I72" s="5"/>
      <c r="J72" s="3"/>
      <c r="K72" s="4"/>
      <c r="L72" s="3"/>
      <c r="M72" s="4"/>
      <c r="N72" s="4"/>
    </row>
    <row r="73" spans="1:14" outlineLevel="3" x14ac:dyDescent="0.35">
      <c r="A73" t="s">
        <v>70</v>
      </c>
      <c r="B73" t="s">
        <v>28</v>
      </c>
      <c r="C73" t="s">
        <v>31</v>
      </c>
      <c r="D73" t="s">
        <v>47</v>
      </c>
      <c r="E73">
        <v>1</v>
      </c>
      <c r="F73">
        <v>0</v>
      </c>
      <c r="G73" s="6">
        <v>0</v>
      </c>
      <c r="H73" s="7"/>
      <c r="I73" s="7"/>
      <c r="J73">
        <v>0</v>
      </c>
      <c r="K73" s="6">
        <v>0</v>
      </c>
      <c r="L73">
        <v>0</v>
      </c>
      <c r="M73" s="6">
        <v>0</v>
      </c>
      <c r="N73" s="6">
        <v>0</v>
      </c>
    </row>
    <row r="74" spans="1:14" outlineLevel="3" x14ac:dyDescent="0.35">
      <c r="A74" t="s">
        <v>70</v>
      </c>
      <c r="B74" t="s">
        <v>28</v>
      </c>
      <c r="C74" t="s">
        <v>31</v>
      </c>
      <c r="D74" t="s">
        <v>76</v>
      </c>
      <c r="E74">
        <v>1</v>
      </c>
      <c r="F74">
        <v>1</v>
      </c>
      <c r="G74" s="6">
        <v>100</v>
      </c>
      <c r="H74" s="7">
        <v>15</v>
      </c>
      <c r="I74" s="7">
        <v>15</v>
      </c>
      <c r="J74">
        <v>0</v>
      </c>
      <c r="K74" s="6">
        <v>0</v>
      </c>
      <c r="L74">
        <v>0</v>
      </c>
      <c r="M74" s="6">
        <v>0</v>
      </c>
      <c r="N74" s="6">
        <v>0</v>
      </c>
    </row>
    <row r="75" spans="1:14" outlineLevel="3" x14ac:dyDescent="0.35">
      <c r="A75" t="s">
        <v>70</v>
      </c>
      <c r="B75" t="s">
        <v>28</v>
      </c>
      <c r="C75" t="s">
        <v>31</v>
      </c>
      <c r="D75" t="s">
        <v>31</v>
      </c>
      <c r="E75">
        <v>2</v>
      </c>
      <c r="F75">
        <v>0</v>
      </c>
      <c r="G75" s="6">
        <v>0</v>
      </c>
      <c r="H75" s="7"/>
      <c r="I75" s="7"/>
      <c r="J75">
        <v>0</v>
      </c>
      <c r="K75" s="6">
        <v>0</v>
      </c>
      <c r="L75">
        <v>0</v>
      </c>
      <c r="M75" s="6">
        <v>0</v>
      </c>
      <c r="N75" s="6">
        <v>0</v>
      </c>
    </row>
    <row r="76" spans="1:14" outlineLevel="2" collapsed="1" x14ac:dyDescent="0.35">
      <c r="A76" s="3" t="s">
        <v>33</v>
      </c>
      <c r="B76" s="3"/>
      <c r="C76" s="3"/>
      <c r="D76" s="3"/>
      <c r="E76" s="3"/>
      <c r="F76" s="3"/>
      <c r="G76" s="4"/>
      <c r="H76" s="5"/>
      <c r="I76" s="5"/>
      <c r="J76" s="3"/>
      <c r="K76" s="4"/>
      <c r="L76" s="3"/>
      <c r="M76" s="4"/>
      <c r="N76" s="4"/>
    </row>
    <row r="77" spans="1:14" outlineLevel="3" x14ac:dyDescent="0.35">
      <c r="A77" t="s">
        <v>70</v>
      </c>
      <c r="B77" t="s">
        <v>28</v>
      </c>
      <c r="C77" t="s">
        <v>34</v>
      </c>
      <c r="D77" t="s">
        <v>56</v>
      </c>
      <c r="E77">
        <v>43</v>
      </c>
      <c r="F77">
        <v>2</v>
      </c>
      <c r="G77" s="6">
        <v>4.6500000000000004</v>
      </c>
      <c r="H77" s="7">
        <v>2.5</v>
      </c>
      <c r="I77" s="7">
        <v>2.5</v>
      </c>
      <c r="J77">
        <v>0</v>
      </c>
      <c r="K77" s="6">
        <v>0</v>
      </c>
      <c r="L77">
        <v>0</v>
      </c>
      <c r="M77" s="6">
        <v>0</v>
      </c>
      <c r="N77" s="6">
        <v>0</v>
      </c>
    </row>
    <row r="78" spans="1:14" outlineLevel="3" x14ac:dyDescent="0.35">
      <c r="A78" t="s">
        <v>70</v>
      </c>
      <c r="B78" t="s">
        <v>28</v>
      </c>
      <c r="C78" t="s">
        <v>34</v>
      </c>
      <c r="D78" t="s">
        <v>77</v>
      </c>
      <c r="E78">
        <v>8</v>
      </c>
      <c r="F78">
        <v>0</v>
      </c>
      <c r="G78" s="6">
        <v>0</v>
      </c>
      <c r="H78" s="7"/>
      <c r="I78" s="7"/>
      <c r="J78">
        <v>0</v>
      </c>
      <c r="K78" s="6">
        <v>0</v>
      </c>
      <c r="L78">
        <v>0</v>
      </c>
      <c r="M78" s="6">
        <v>0</v>
      </c>
      <c r="N78" s="6">
        <v>0</v>
      </c>
    </row>
    <row r="79" spans="1:14" outlineLevel="3" x14ac:dyDescent="0.35">
      <c r="A79" t="s">
        <v>70</v>
      </c>
      <c r="B79" t="s">
        <v>28</v>
      </c>
      <c r="C79" t="s">
        <v>34</v>
      </c>
      <c r="D79" t="s">
        <v>73</v>
      </c>
      <c r="E79">
        <v>2</v>
      </c>
      <c r="F79">
        <v>0</v>
      </c>
      <c r="G79" s="6">
        <v>0</v>
      </c>
      <c r="H79" s="7"/>
      <c r="I79" s="7"/>
      <c r="J79">
        <v>0</v>
      </c>
      <c r="K79" s="6">
        <v>0</v>
      </c>
      <c r="L79">
        <v>0</v>
      </c>
      <c r="M79" s="6">
        <v>0</v>
      </c>
      <c r="N79" s="6">
        <v>0</v>
      </c>
    </row>
    <row r="80" spans="1:14" outlineLevel="3" x14ac:dyDescent="0.35">
      <c r="A80" t="s">
        <v>70</v>
      </c>
      <c r="B80" t="s">
        <v>28</v>
      </c>
      <c r="C80" t="s">
        <v>34</v>
      </c>
      <c r="D80" t="s">
        <v>58</v>
      </c>
      <c r="E80">
        <v>1</v>
      </c>
      <c r="F80">
        <v>1</v>
      </c>
      <c r="G80" s="6">
        <v>100</v>
      </c>
      <c r="H80" s="7">
        <v>6</v>
      </c>
      <c r="I80" s="7">
        <v>6</v>
      </c>
      <c r="J80">
        <v>0</v>
      </c>
      <c r="K80" s="6">
        <v>0</v>
      </c>
      <c r="L80">
        <v>0</v>
      </c>
      <c r="M80" s="6">
        <v>0</v>
      </c>
      <c r="N80" s="6">
        <v>0</v>
      </c>
    </row>
    <row r="81" spans="1:14" outlineLevel="3" x14ac:dyDescent="0.35">
      <c r="A81" t="s">
        <v>70</v>
      </c>
      <c r="B81" t="s">
        <v>28</v>
      </c>
      <c r="C81" t="s">
        <v>34</v>
      </c>
      <c r="D81" t="s">
        <v>35</v>
      </c>
      <c r="E81">
        <v>3</v>
      </c>
      <c r="F81">
        <v>0</v>
      </c>
      <c r="G81" s="6">
        <v>0</v>
      </c>
      <c r="H81" s="7"/>
      <c r="I81" s="7"/>
      <c r="J81">
        <v>0</v>
      </c>
      <c r="K81" s="6">
        <v>0</v>
      </c>
      <c r="L81">
        <v>0</v>
      </c>
      <c r="M81" s="6">
        <v>0</v>
      </c>
      <c r="N81" s="6">
        <v>0</v>
      </c>
    </row>
    <row r="82" spans="1:14" outlineLevel="3" x14ac:dyDescent="0.35">
      <c r="A82" t="s">
        <v>70</v>
      </c>
      <c r="B82" t="s">
        <v>28</v>
      </c>
      <c r="C82" t="s">
        <v>34</v>
      </c>
      <c r="D82" t="s">
        <v>34</v>
      </c>
      <c r="E82">
        <v>2</v>
      </c>
      <c r="F82">
        <v>0</v>
      </c>
      <c r="G82" s="6">
        <v>0</v>
      </c>
      <c r="H82" s="7"/>
      <c r="I82" s="7"/>
      <c r="J82">
        <v>0</v>
      </c>
      <c r="K82" s="6">
        <v>0</v>
      </c>
      <c r="L82">
        <v>0</v>
      </c>
      <c r="M82" s="6">
        <v>0</v>
      </c>
      <c r="N82" s="6">
        <v>0</v>
      </c>
    </row>
    <row r="83" spans="1:14" outlineLevel="3" x14ac:dyDescent="0.35">
      <c r="A83" t="s">
        <v>70</v>
      </c>
      <c r="B83" t="s">
        <v>28</v>
      </c>
      <c r="C83" t="s">
        <v>34</v>
      </c>
      <c r="D83" t="s">
        <v>49</v>
      </c>
      <c r="E83">
        <v>10</v>
      </c>
      <c r="F83">
        <v>0</v>
      </c>
      <c r="G83" s="6">
        <v>0</v>
      </c>
      <c r="H83" s="7"/>
      <c r="I83" s="7"/>
      <c r="J83">
        <v>0</v>
      </c>
      <c r="K83" s="6">
        <v>0</v>
      </c>
      <c r="L83">
        <v>0</v>
      </c>
      <c r="M83" s="6">
        <v>0</v>
      </c>
      <c r="N83" s="6">
        <v>0</v>
      </c>
    </row>
    <row r="84" spans="1:14" outlineLevel="2" collapsed="1" x14ac:dyDescent="0.35">
      <c r="A84" s="3" t="s">
        <v>50</v>
      </c>
      <c r="B84" s="3"/>
      <c r="C84" s="3"/>
      <c r="D84" s="3"/>
      <c r="E84" s="3"/>
      <c r="F84" s="3"/>
      <c r="G84" s="4"/>
      <c r="H84" s="5"/>
      <c r="I84" s="5"/>
      <c r="J84" s="3"/>
      <c r="K84" s="4"/>
      <c r="L84" s="3"/>
      <c r="M84" s="4"/>
      <c r="N84" s="4"/>
    </row>
    <row r="85" spans="1:14" outlineLevel="3" x14ac:dyDescent="0.35">
      <c r="A85" t="s">
        <v>70</v>
      </c>
      <c r="B85" t="s">
        <v>28</v>
      </c>
      <c r="C85" t="s">
        <v>51</v>
      </c>
      <c r="D85" t="s">
        <v>51</v>
      </c>
      <c r="E85">
        <v>2</v>
      </c>
      <c r="F85">
        <v>0</v>
      </c>
      <c r="G85" s="6">
        <v>0</v>
      </c>
      <c r="H85" s="7"/>
      <c r="I85" s="7"/>
      <c r="J85">
        <v>0</v>
      </c>
      <c r="K85" s="6">
        <v>0</v>
      </c>
      <c r="L85">
        <v>0</v>
      </c>
      <c r="M85" s="6">
        <v>0</v>
      </c>
      <c r="N85" s="6">
        <v>0</v>
      </c>
    </row>
    <row r="86" spans="1:14" outlineLevel="2" collapsed="1" x14ac:dyDescent="0.35">
      <c r="A86" s="3" t="s">
        <v>62</v>
      </c>
      <c r="B86" s="3"/>
      <c r="C86" s="3"/>
      <c r="D86" s="3"/>
      <c r="E86" s="3"/>
      <c r="F86" s="3"/>
      <c r="G86" s="4"/>
      <c r="H86" s="5"/>
      <c r="I86" s="5"/>
      <c r="J86" s="3"/>
      <c r="K86" s="4"/>
      <c r="L86" s="3"/>
      <c r="M86" s="4"/>
      <c r="N86" s="4"/>
    </row>
    <row r="87" spans="1:14" outlineLevel="3" x14ac:dyDescent="0.35">
      <c r="A87" t="s">
        <v>70</v>
      </c>
      <c r="B87" t="s">
        <v>28</v>
      </c>
      <c r="C87" t="s">
        <v>63</v>
      </c>
      <c r="D87" t="s">
        <v>64</v>
      </c>
      <c r="E87">
        <v>2</v>
      </c>
      <c r="F87">
        <v>1</v>
      </c>
      <c r="G87" s="6">
        <v>50</v>
      </c>
      <c r="H87" s="7">
        <v>63</v>
      </c>
      <c r="I87" s="7">
        <v>63</v>
      </c>
      <c r="J87">
        <v>0</v>
      </c>
      <c r="K87" s="6">
        <v>0</v>
      </c>
      <c r="L87">
        <v>0</v>
      </c>
      <c r="M87" s="6">
        <v>0</v>
      </c>
      <c r="N87" s="6">
        <v>0</v>
      </c>
    </row>
    <row r="88" spans="1:14" outlineLevel="2" collapsed="1" x14ac:dyDescent="0.35">
      <c r="A88" s="3" t="s">
        <v>38</v>
      </c>
      <c r="B88" s="3"/>
      <c r="C88" s="3"/>
      <c r="D88" s="3"/>
      <c r="E88" s="3"/>
      <c r="F88" s="3"/>
      <c r="G88" s="4"/>
      <c r="H88" s="5"/>
      <c r="I88" s="5"/>
      <c r="J88" s="3"/>
      <c r="K88" s="4"/>
      <c r="L88" s="3"/>
      <c r="M88" s="4"/>
      <c r="N88" s="4"/>
    </row>
    <row r="89" spans="1:14" outlineLevel="3" x14ac:dyDescent="0.35">
      <c r="A89" t="s">
        <v>70</v>
      </c>
      <c r="B89" t="s">
        <v>39</v>
      </c>
      <c r="C89" t="s">
        <v>40</v>
      </c>
      <c r="D89" t="s">
        <v>40</v>
      </c>
      <c r="E89">
        <v>430</v>
      </c>
      <c r="F89">
        <v>19</v>
      </c>
      <c r="G89" s="6">
        <v>4.42</v>
      </c>
      <c r="H89" s="7">
        <v>34</v>
      </c>
      <c r="I89" s="7">
        <v>62.55</v>
      </c>
      <c r="J89">
        <v>0</v>
      </c>
      <c r="K89" s="6">
        <v>0</v>
      </c>
      <c r="L89">
        <v>0</v>
      </c>
      <c r="M89" s="6">
        <v>0</v>
      </c>
      <c r="N89" s="6">
        <v>0</v>
      </c>
    </row>
    <row r="90" spans="1:14" outlineLevel="2" collapsed="1" x14ac:dyDescent="0.35">
      <c r="A90" s="3" t="s">
        <v>67</v>
      </c>
      <c r="B90" s="3"/>
      <c r="C90" s="3"/>
      <c r="D90" s="3"/>
      <c r="E90" s="3"/>
      <c r="F90" s="3"/>
      <c r="G90" s="4"/>
      <c r="H90" s="5"/>
      <c r="I90" s="5"/>
      <c r="J90" s="3"/>
      <c r="K90" s="4"/>
      <c r="L90" s="3"/>
      <c r="M90" s="4"/>
      <c r="N90" s="4"/>
    </row>
    <row r="91" spans="1:14" outlineLevel="3" x14ac:dyDescent="0.35">
      <c r="A91" t="s">
        <v>70</v>
      </c>
      <c r="B91" t="s">
        <v>39</v>
      </c>
      <c r="C91" t="s">
        <v>68</v>
      </c>
      <c r="D91" t="s">
        <v>68</v>
      </c>
      <c r="E91">
        <v>5</v>
      </c>
      <c r="F91">
        <v>2</v>
      </c>
      <c r="G91" s="6">
        <v>40</v>
      </c>
      <c r="H91" s="7">
        <v>45.5</v>
      </c>
      <c r="I91" s="7">
        <v>45.5</v>
      </c>
      <c r="J91">
        <v>0</v>
      </c>
      <c r="K91" s="6">
        <v>0</v>
      </c>
      <c r="L91">
        <v>0</v>
      </c>
      <c r="M91" s="6">
        <v>0</v>
      </c>
      <c r="N91" s="6">
        <v>0</v>
      </c>
    </row>
    <row r="92" spans="1:14" outlineLevel="2" collapsed="1" x14ac:dyDescent="0.35">
      <c r="A92" s="3" t="s">
        <v>41</v>
      </c>
      <c r="B92" s="3"/>
      <c r="C92" s="3"/>
      <c r="D92" s="3"/>
      <c r="E92" s="3"/>
      <c r="F92" s="3"/>
      <c r="G92" s="4"/>
      <c r="H92" s="5"/>
      <c r="I92" s="5"/>
      <c r="J92" s="3"/>
      <c r="K92" s="4"/>
      <c r="L92" s="3"/>
      <c r="M92" s="4"/>
      <c r="N92" s="4"/>
    </row>
    <row r="93" spans="1:14" outlineLevel="3" x14ac:dyDescent="0.35">
      <c r="A93" t="s">
        <v>70</v>
      </c>
      <c r="B93" t="s">
        <v>39</v>
      </c>
      <c r="C93" t="s">
        <v>42</v>
      </c>
      <c r="D93" t="s">
        <v>42</v>
      </c>
      <c r="E93">
        <v>4</v>
      </c>
      <c r="F93">
        <v>0</v>
      </c>
      <c r="G93" s="6">
        <v>0</v>
      </c>
      <c r="H93" s="7">
        <v>298</v>
      </c>
      <c r="I93" s="7">
        <v>298</v>
      </c>
      <c r="J93">
        <v>0</v>
      </c>
      <c r="K93" s="6">
        <v>0</v>
      </c>
      <c r="L93">
        <v>0</v>
      </c>
      <c r="M93" s="6">
        <v>0</v>
      </c>
      <c r="N93" s="6">
        <v>0</v>
      </c>
    </row>
    <row r="94" spans="1:14" outlineLevel="1" collapsed="1" x14ac:dyDescent="0.35">
      <c r="A94" s="3" t="s">
        <v>78</v>
      </c>
      <c r="B94" s="3"/>
      <c r="C94" s="3"/>
      <c r="D94" s="3"/>
      <c r="E94" s="3"/>
      <c r="F94" s="3"/>
      <c r="G94" s="4"/>
      <c r="H94" s="5"/>
      <c r="I94" s="5"/>
      <c r="J94" s="3"/>
      <c r="K94" s="4"/>
      <c r="L94" s="3"/>
      <c r="M94" s="4"/>
      <c r="N94" s="4"/>
    </row>
    <row r="95" spans="1:14" outlineLevel="2" collapsed="1" x14ac:dyDescent="0.35">
      <c r="A95" s="3" t="s">
        <v>26</v>
      </c>
      <c r="B95" s="3"/>
      <c r="C95" s="3"/>
      <c r="D95" s="3"/>
      <c r="E95" s="3"/>
      <c r="F95" s="3"/>
      <c r="G95" s="4"/>
      <c r="H95" s="5"/>
      <c r="I95" s="5"/>
      <c r="J95" s="3"/>
      <c r="K95" s="4"/>
      <c r="L95" s="3"/>
      <c r="M95" s="4"/>
      <c r="N95" s="4"/>
    </row>
    <row r="96" spans="1:14" outlineLevel="3" x14ac:dyDescent="0.35">
      <c r="A96" t="s">
        <v>79</v>
      </c>
      <c r="B96" t="s">
        <v>28</v>
      </c>
      <c r="C96" t="s">
        <v>29</v>
      </c>
      <c r="D96" t="s">
        <v>29</v>
      </c>
      <c r="E96">
        <v>2</v>
      </c>
      <c r="F96">
        <v>1</v>
      </c>
      <c r="G96" s="6">
        <v>50</v>
      </c>
      <c r="H96" s="7">
        <v>0</v>
      </c>
      <c r="I96" s="7">
        <v>0</v>
      </c>
      <c r="J96">
        <v>0</v>
      </c>
      <c r="K96" s="6">
        <v>0</v>
      </c>
      <c r="L96">
        <v>0</v>
      </c>
      <c r="M96" s="6">
        <v>0</v>
      </c>
      <c r="N96" s="6">
        <v>0</v>
      </c>
    </row>
    <row r="97" spans="1:14" outlineLevel="2" collapsed="1" x14ac:dyDescent="0.35">
      <c r="A97" s="3" t="s">
        <v>71</v>
      </c>
      <c r="B97" s="3"/>
      <c r="C97" s="3"/>
      <c r="D97" s="3"/>
      <c r="E97" s="3"/>
      <c r="F97" s="3"/>
      <c r="G97" s="4"/>
      <c r="H97" s="5"/>
      <c r="I97" s="5"/>
      <c r="J97" s="3"/>
      <c r="K97" s="4"/>
      <c r="L97" s="3"/>
      <c r="M97" s="4"/>
      <c r="N97" s="4"/>
    </row>
    <row r="98" spans="1:14" outlineLevel="3" x14ac:dyDescent="0.35">
      <c r="A98" t="s">
        <v>79</v>
      </c>
      <c r="B98" t="s">
        <v>28</v>
      </c>
      <c r="C98" t="s">
        <v>72</v>
      </c>
      <c r="D98" t="s">
        <v>73</v>
      </c>
      <c r="E98">
        <v>138</v>
      </c>
      <c r="F98">
        <v>2</v>
      </c>
      <c r="G98" s="6">
        <v>1.45</v>
      </c>
      <c r="H98" s="7">
        <v>15</v>
      </c>
      <c r="I98" s="7">
        <v>16.670000000000002</v>
      </c>
      <c r="J98">
        <v>0</v>
      </c>
      <c r="K98" s="6">
        <v>0</v>
      </c>
      <c r="L98">
        <v>0</v>
      </c>
      <c r="M98" s="6">
        <v>0</v>
      </c>
      <c r="N98" s="6">
        <v>0</v>
      </c>
    </row>
    <row r="99" spans="1:14" outlineLevel="3" x14ac:dyDescent="0.35">
      <c r="A99" t="s">
        <v>79</v>
      </c>
      <c r="B99" t="s">
        <v>28</v>
      </c>
      <c r="C99" t="s">
        <v>72</v>
      </c>
      <c r="D99" t="s">
        <v>80</v>
      </c>
      <c r="E99">
        <v>50</v>
      </c>
      <c r="F99">
        <v>1</v>
      </c>
      <c r="G99" s="6">
        <v>2</v>
      </c>
      <c r="H99" s="7">
        <v>12</v>
      </c>
      <c r="I99" s="7">
        <v>12</v>
      </c>
      <c r="J99">
        <v>0</v>
      </c>
      <c r="K99" s="6">
        <v>0</v>
      </c>
      <c r="L99">
        <v>0</v>
      </c>
      <c r="M99" s="6">
        <v>0</v>
      </c>
      <c r="N99" s="6">
        <v>0</v>
      </c>
    </row>
    <row r="100" spans="1:14" outlineLevel="2" collapsed="1" x14ac:dyDescent="0.35">
      <c r="A100" s="3" t="s">
        <v>33</v>
      </c>
      <c r="B100" s="3"/>
      <c r="C100" s="3"/>
      <c r="D100" s="3"/>
      <c r="E100" s="3"/>
      <c r="F100" s="3"/>
      <c r="G100" s="4"/>
      <c r="H100" s="5"/>
      <c r="I100" s="5"/>
      <c r="J100" s="3"/>
      <c r="K100" s="4"/>
      <c r="L100" s="3"/>
      <c r="M100" s="4"/>
      <c r="N100" s="4"/>
    </row>
    <row r="101" spans="1:14" outlineLevel="3" x14ac:dyDescent="0.35">
      <c r="A101" t="s">
        <v>79</v>
      </c>
      <c r="B101" t="s">
        <v>28</v>
      </c>
      <c r="C101" t="s">
        <v>34</v>
      </c>
      <c r="D101" t="s">
        <v>56</v>
      </c>
      <c r="E101">
        <v>15</v>
      </c>
      <c r="F101">
        <v>1</v>
      </c>
      <c r="G101" s="6">
        <v>6.67</v>
      </c>
      <c r="H101" s="7">
        <v>19</v>
      </c>
      <c r="I101" s="7">
        <v>19</v>
      </c>
      <c r="J101">
        <v>0</v>
      </c>
      <c r="K101" s="6">
        <v>0</v>
      </c>
      <c r="L101">
        <v>0</v>
      </c>
      <c r="M101" s="6">
        <v>0</v>
      </c>
      <c r="N101" s="6">
        <v>0</v>
      </c>
    </row>
    <row r="102" spans="1:14" outlineLevel="3" x14ac:dyDescent="0.35">
      <c r="A102" t="s">
        <v>79</v>
      </c>
      <c r="B102" t="s">
        <v>28</v>
      </c>
      <c r="C102" t="s">
        <v>34</v>
      </c>
      <c r="D102" t="s">
        <v>77</v>
      </c>
      <c r="E102">
        <v>3</v>
      </c>
      <c r="F102">
        <v>0</v>
      </c>
      <c r="G102" s="6">
        <v>0</v>
      </c>
      <c r="H102" s="7"/>
      <c r="I102" s="7"/>
      <c r="J102">
        <v>0</v>
      </c>
      <c r="K102" s="6">
        <v>0</v>
      </c>
      <c r="L102">
        <v>0</v>
      </c>
      <c r="M102" s="6">
        <v>0</v>
      </c>
      <c r="N102" s="6">
        <v>0</v>
      </c>
    </row>
    <row r="103" spans="1:14" outlineLevel="3" x14ac:dyDescent="0.35">
      <c r="A103" t="s">
        <v>79</v>
      </c>
      <c r="B103" t="s">
        <v>28</v>
      </c>
      <c r="C103" t="s">
        <v>34</v>
      </c>
      <c r="D103" t="s">
        <v>60</v>
      </c>
      <c r="E103">
        <v>1</v>
      </c>
      <c r="F103">
        <v>1</v>
      </c>
      <c r="G103" s="6">
        <v>100</v>
      </c>
      <c r="H103" s="7">
        <v>13</v>
      </c>
      <c r="I103" s="7">
        <v>13</v>
      </c>
      <c r="J103">
        <v>0</v>
      </c>
      <c r="K103" s="6">
        <v>0</v>
      </c>
      <c r="L103">
        <v>0</v>
      </c>
      <c r="M103" s="6">
        <v>0</v>
      </c>
      <c r="N103" s="6">
        <v>0</v>
      </c>
    </row>
    <row r="104" spans="1:14" outlineLevel="3" x14ac:dyDescent="0.35">
      <c r="A104" t="s">
        <v>79</v>
      </c>
      <c r="B104" t="s">
        <v>28</v>
      </c>
      <c r="C104" t="s">
        <v>34</v>
      </c>
      <c r="D104" t="s">
        <v>35</v>
      </c>
      <c r="E104">
        <v>4</v>
      </c>
      <c r="F104">
        <v>1</v>
      </c>
      <c r="G104" s="6">
        <v>25</v>
      </c>
      <c r="H104" s="7">
        <v>0</v>
      </c>
      <c r="I104" s="7">
        <v>0</v>
      </c>
      <c r="J104">
        <v>0</v>
      </c>
      <c r="K104" s="6">
        <v>0</v>
      </c>
      <c r="L104">
        <v>0</v>
      </c>
      <c r="M104" s="6">
        <v>0</v>
      </c>
      <c r="N104" s="6">
        <v>0</v>
      </c>
    </row>
    <row r="105" spans="1:14" outlineLevel="3" x14ac:dyDescent="0.35">
      <c r="A105" t="s">
        <v>79</v>
      </c>
      <c r="B105" t="s">
        <v>28</v>
      </c>
      <c r="C105" t="s">
        <v>34</v>
      </c>
      <c r="D105" t="s">
        <v>49</v>
      </c>
      <c r="E105">
        <v>3</v>
      </c>
      <c r="F105">
        <v>0</v>
      </c>
      <c r="G105" s="6">
        <v>0</v>
      </c>
      <c r="H105" s="7"/>
      <c r="I105" s="7"/>
      <c r="J105">
        <v>0</v>
      </c>
      <c r="K105" s="6">
        <v>0</v>
      </c>
      <c r="L105">
        <v>0</v>
      </c>
      <c r="M105" s="6">
        <v>0</v>
      </c>
      <c r="N105" s="6">
        <v>0</v>
      </c>
    </row>
    <row r="106" spans="1:14" outlineLevel="2" collapsed="1" x14ac:dyDescent="0.35">
      <c r="A106" s="3" t="s">
        <v>38</v>
      </c>
      <c r="B106" s="3"/>
      <c r="C106" s="3"/>
      <c r="D106" s="3"/>
      <c r="E106" s="3"/>
      <c r="F106" s="3"/>
      <c r="G106" s="4"/>
      <c r="H106" s="5"/>
      <c r="I106" s="5"/>
      <c r="J106" s="3"/>
      <c r="K106" s="4"/>
      <c r="L106" s="3"/>
      <c r="M106" s="4"/>
      <c r="N106" s="4"/>
    </row>
    <row r="107" spans="1:14" outlineLevel="3" x14ac:dyDescent="0.35">
      <c r="A107" t="s">
        <v>79</v>
      </c>
      <c r="B107" t="s">
        <v>39</v>
      </c>
      <c r="C107" t="s">
        <v>40</v>
      </c>
      <c r="D107" t="s">
        <v>40</v>
      </c>
      <c r="E107">
        <v>344</v>
      </c>
      <c r="F107">
        <v>11</v>
      </c>
      <c r="G107" s="6">
        <v>3.2</v>
      </c>
      <c r="H107" s="7">
        <v>32.5</v>
      </c>
      <c r="I107" s="7">
        <v>65.25</v>
      </c>
      <c r="J107">
        <v>0</v>
      </c>
      <c r="K107" s="6">
        <v>0</v>
      </c>
      <c r="L107">
        <v>0</v>
      </c>
      <c r="M107" s="6">
        <v>0</v>
      </c>
      <c r="N107" s="6">
        <v>0</v>
      </c>
    </row>
    <row r="108" spans="1:14" outlineLevel="2" collapsed="1" x14ac:dyDescent="0.35">
      <c r="A108" s="3" t="s">
        <v>81</v>
      </c>
      <c r="B108" s="3"/>
      <c r="C108" s="3"/>
      <c r="D108" s="3"/>
      <c r="E108" s="3"/>
      <c r="F108" s="3"/>
      <c r="G108" s="4"/>
      <c r="H108" s="5"/>
      <c r="I108" s="5"/>
      <c r="J108" s="3"/>
      <c r="K108" s="4"/>
      <c r="L108" s="3"/>
      <c r="M108" s="4"/>
      <c r="N108" s="4"/>
    </row>
    <row r="109" spans="1:14" outlineLevel="3" x14ac:dyDescent="0.35">
      <c r="A109" t="s">
        <v>79</v>
      </c>
      <c r="B109" t="s">
        <v>39</v>
      </c>
      <c r="C109" t="s">
        <v>82</v>
      </c>
      <c r="D109" t="s">
        <v>82</v>
      </c>
      <c r="E109">
        <v>2</v>
      </c>
      <c r="F109">
        <v>1</v>
      </c>
      <c r="G109" s="6">
        <v>50</v>
      </c>
      <c r="H109" s="7">
        <v>8</v>
      </c>
      <c r="I109" s="7">
        <v>8</v>
      </c>
      <c r="J109">
        <v>0</v>
      </c>
      <c r="K109" s="6">
        <v>0</v>
      </c>
      <c r="L109">
        <v>0</v>
      </c>
      <c r="M109" s="6">
        <v>0</v>
      </c>
      <c r="N109" s="6">
        <v>0</v>
      </c>
    </row>
    <row r="110" spans="1:14" outlineLevel="2" collapsed="1" x14ac:dyDescent="0.35">
      <c r="A110" s="3" t="s">
        <v>41</v>
      </c>
      <c r="B110" s="3"/>
      <c r="C110" s="3"/>
      <c r="D110" s="3"/>
      <c r="E110" s="3"/>
      <c r="F110" s="3"/>
      <c r="G110" s="4"/>
      <c r="H110" s="5"/>
      <c r="I110" s="5"/>
      <c r="J110" s="3"/>
      <c r="K110" s="4"/>
      <c r="L110" s="3"/>
      <c r="M110" s="4"/>
      <c r="N110" s="4"/>
    </row>
    <row r="111" spans="1:14" outlineLevel="3" x14ac:dyDescent="0.35">
      <c r="A111" t="s">
        <v>79</v>
      </c>
      <c r="B111" t="s">
        <v>39</v>
      </c>
      <c r="C111" t="s">
        <v>42</v>
      </c>
      <c r="D111" t="s">
        <v>42</v>
      </c>
      <c r="E111">
        <v>3</v>
      </c>
      <c r="F111">
        <v>1</v>
      </c>
      <c r="G111" s="6">
        <v>33.33</v>
      </c>
      <c r="H111" s="7">
        <v>95.5</v>
      </c>
      <c r="I111" s="7">
        <v>95.5</v>
      </c>
      <c r="J111">
        <v>0</v>
      </c>
      <c r="K111" s="6">
        <v>0</v>
      </c>
      <c r="L111">
        <v>0</v>
      </c>
      <c r="M111" s="6">
        <v>0</v>
      </c>
      <c r="N111" s="6">
        <v>0</v>
      </c>
    </row>
    <row r="112" spans="1:14" outlineLevel="1" collapsed="1" x14ac:dyDescent="0.35">
      <c r="A112" s="3" t="s">
        <v>83</v>
      </c>
      <c r="B112" s="3"/>
      <c r="C112" s="3"/>
      <c r="D112" s="3"/>
      <c r="E112" s="3"/>
      <c r="F112" s="3"/>
      <c r="G112" s="4"/>
      <c r="H112" s="5"/>
      <c r="I112" s="5"/>
      <c r="J112" s="3"/>
      <c r="K112" s="4"/>
      <c r="L112" s="3"/>
      <c r="M112" s="4"/>
      <c r="N112" s="4"/>
    </row>
    <row r="113" spans="1:14" outlineLevel="2" collapsed="1" x14ac:dyDescent="0.35">
      <c r="A113" s="3" t="s">
        <v>26</v>
      </c>
      <c r="B113" s="3"/>
      <c r="C113" s="3"/>
      <c r="D113" s="3"/>
      <c r="E113" s="3"/>
      <c r="F113" s="3"/>
      <c r="G113" s="4"/>
      <c r="H113" s="5"/>
      <c r="I113" s="5"/>
      <c r="J113" s="3"/>
      <c r="K113" s="4"/>
      <c r="L113" s="3"/>
      <c r="M113" s="4"/>
      <c r="N113" s="4"/>
    </row>
    <row r="114" spans="1:14" outlineLevel="3" x14ac:dyDescent="0.35">
      <c r="A114" t="s">
        <v>84</v>
      </c>
      <c r="B114" t="s">
        <v>28</v>
      </c>
      <c r="C114" t="s">
        <v>29</v>
      </c>
      <c r="D114" t="s">
        <v>29</v>
      </c>
      <c r="E114">
        <v>1</v>
      </c>
      <c r="F114">
        <v>1</v>
      </c>
      <c r="G114" s="6">
        <v>100</v>
      </c>
      <c r="H114" s="7">
        <v>10</v>
      </c>
      <c r="I114" s="7">
        <v>10</v>
      </c>
      <c r="J114">
        <v>0</v>
      </c>
      <c r="K114" s="6">
        <v>0</v>
      </c>
      <c r="L114">
        <v>0</v>
      </c>
      <c r="M114" s="6">
        <v>0</v>
      </c>
      <c r="N114" s="6">
        <v>0</v>
      </c>
    </row>
    <row r="115" spans="1:14" outlineLevel="2" collapsed="1" x14ac:dyDescent="0.35">
      <c r="A115" s="3" t="s">
        <v>71</v>
      </c>
      <c r="B115" s="3"/>
      <c r="C115" s="3"/>
      <c r="D115" s="3"/>
      <c r="E115" s="3"/>
      <c r="F115" s="3"/>
      <c r="G115" s="4"/>
      <c r="H115" s="5"/>
      <c r="I115" s="5"/>
      <c r="J115" s="3"/>
      <c r="K115" s="4"/>
      <c r="L115" s="3"/>
      <c r="M115" s="4"/>
      <c r="N115" s="4"/>
    </row>
    <row r="116" spans="1:14" outlineLevel="3" x14ac:dyDescent="0.35">
      <c r="A116" t="s">
        <v>84</v>
      </c>
      <c r="B116" t="s">
        <v>28</v>
      </c>
      <c r="C116" t="s">
        <v>72</v>
      </c>
      <c r="D116" t="s">
        <v>73</v>
      </c>
      <c r="E116">
        <v>68</v>
      </c>
      <c r="F116">
        <v>0</v>
      </c>
      <c r="G116" s="6">
        <v>0</v>
      </c>
      <c r="H116" s="7"/>
      <c r="I116" s="7"/>
      <c r="J116">
        <v>0</v>
      </c>
      <c r="K116" s="6">
        <v>0</v>
      </c>
      <c r="L116">
        <v>0</v>
      </c>
      <c r="M116" s="6">
        <v>0</v>
      </c>
      <c r="N116" s="6">
        <v>0</v>
      </c>
    </row>
    <row r="117" spans="1:14" outlineLevel="3" x14ac:dyDescent="0.35">
      <c r="A117" t="s">
        <v>84</v>
      </c>
      <c r="B117" t="s">
        <v>28</v>
      </c>
      <c r="C117" t="s">
        <v>72</v>
      </c>
      <c r="D117" t="s">
        <v>80</v>
      </c>
      <c r="E117">
        <v>89</v>
      </c>
      <c r="F117">
        <v>1</v>
      </c>
      <c r="G117" s="6">
        <v>1.1200000000000001</v>
      </c>
      <c r="H117" s="7">
        <v>19</v>
      </c>
      <c r="I117" s="7">
        <v>19</v>
      </c>
      <c r="J117">
        <v>0</v>
      </c>
      <c r="K117" s="6">
        <v>0</v>
      </c>
      <c r="L117">
        <v>0</v>
      </c>
      <c r="M117" s="6">
        <v>0</v>
      </c>
      <c r="N117" s="6">
        <v>0</v>
      </c>
    </row>
    <row r="118" spans="1:14" outlineLevel="2" collapsed="1" x14ac:dyDescent="0.35">
      <c r="A118" s="3" t="s">
        <v>30</v>
      </c>
      <c r="B118" s="3"/>
      <c r="C118" s="3"/>
      <c r="D118" s="3"/>
      <c r="E118" s="3"/>
      <c r="F118" s="3"/>
      <c r="G118" s="4"/>
      <c r="H118" s="5"/>
      <c r="I118" s="5"/>
      <c r="J118" s="3"/>
      <c r="K118" s="4"/>
      <c r="L118" s="3"/>
      <c r="M118" s="4"/>
      <c r="N118" s="4"/>
    </row>
    <row r="119" spans="1:14" outlineLevel="3" x14ac:dyDescent="0.35">
      <c r="A119" t="s">
        <v>84</v>
      </c>
      <c r="B119" t="s">
        <v>28</v>
      </c>
      <c r="C119" t="s">
        <v>31</v>
      </c>
      <c r="D119" t="s">
        <v>47</v>
      </c>
      <c r="E119">
        <v>1</v>
      </c>
      <c r="F119">
        <v>1</v>
      </c>
      <c r="G119" s="6">
        <v>100</v>
      </c>
      <c r="H119" s="7">
        <v>36</v>
      </c>
      <c r="I119" s="7">
        <v>36</v>
      </c>
      <c r="J119">
        <v>0</v>
      </c>
      <c r="K119" s="6">
        <v>0</v>
      </c>
      <c r="L119">
        <v>0</v>
      </c>
      <c r="M119" s="6">
        <v>0</v>
      </c>
      <c r="N119" s="6">
        <v>0</v>
      </c>
    </row>
    <row r="120" spans="1:14" outlineLevel="3" x14ac:dyDescent="0.35">
      <c r="A120" t="s">
        <v>84</v>
      </c>
      <c r="B120" t="s">
        <v>28</v>
      </c>
      <c r="C120" t="s">
        <v>31</v>
      </c>
      <c r="D120" t="s">
        <v>76</v>
      </c>
      <c r="E120">
        <v>1</v>
      </c>
      <c r="F120">
        <v>0</v>
      </c>
      <c r="G120" s="6">
        <v>0</v>
      </c>
      <c r="H120" s="7"/>
      <c r="I120" s="7"/>
      <c r="J120">
        <v>0</v>
      </c>
      <c r="K120" s="6">
        <v>0</v>
      </c>
      <c r="L120">
        <v>0</v>
      </c>
      <c r="M120" s="6">
        <v>0</v>
      </c>
      <c r="N120" s="6">
        <v>0</v>
      </c>
    </row>
    <row r="121" spans="1:14" outlineLevel="2" collapsed="1" x14ac:dyDescent="0.35">
      <c r="A121" s="3" t="s">
        <v>33</v>
      </c>
      <c r="B121" s="3"/>
      <c r="C121" s="3"/>
      <c r="D121" s="3"/>
      <c r="E121" s="3"/>
      <c r="F121" s="3"/>
      <c r="G121" s="4"/>
      <c r="H121" s="5"/>
      <c r="I121" s="5"/>
      <c r="J121" s="3"/>
      <c r="K121" s="4"/>
      <c r="L121" s="3"/>
      <c r="M121" s="4"/>
      <c r="N121" s="4"/>
    </row>
    <row r="122" spans="1:14" outlineLevel="3" x14ac:dyDescent="0.35">
      <c r="A122" t="s">
        <v>84</v>
      </c>
      <c r="B122" t="s">
        <v>28</v>
      </c>
      <c r="C122" t="s">
        <v>34</v>
      </c>
      <c r="D122" t="s">
        <v>56</v>
      </c>
      <c r="E122">
        <v>6</v>
      </c>
      <c r="F122">
        <v>2</v>
      </c>
      <c r="G122" s="6">
        <v>33.33</v>
      </c>
      <c r="H122" s="7">
        <v>11</v>
      </c>
      <c r="I122" s="7">
        <v>11</v>
      </c>
      <c r="J122">
        <v>0</v>
      </c>
      <c r="K122" s="6">
        <v>0</v>
      </c>
      <c r="L122">
        <v>0</v>
      </c>
      <c r="M122" s="6">
        <v>0</v>
      </c>
      <c r="N122" s="6">
        <v>0</v>
      </c>
    </row>
    <row r="123" spans="1:14" outlineLevel="3" x14ac:dyDescent="0.35">
      <c r="A123" t="s">
        <v>84</v>
      </c>
      <c r="B123" t="s">
        <v>28</v>
      </c>
      <c r="C123" t="s">
        <v>34</v>
      </c>
      <c r="D123" t="s">
        <v>77</v>
      </c>
      <c r="E123">
        <v>1</v>
      </c>
      <c r="F123">
        <v>0</v>
      </c>
      <c r="G123" s="6">
        <v>0</v>
      </c>
      <c r="H123" s="7"/>
      <c r="I123" s="7"/>
      <c r="J123">
        <v>0</v>
      </c>
      <c r="K123" s="6">
        <v>0</v>
      </c>
      <c r="L123">
        <v>0</v>
      </c>
      <c r="M123" s="6">
        <v>0</v>
      </c>
      <c r="N123" s="6">
        <v>0</v>
      </c>
    </row>
    <row r="124" spans="1:14" outlineLevel="3" x14ac:dyDescent="0.35">
      <c r="A124" t="s">
        <v>84</v>
      </c>
      <c r="B124" t="s">
        <v>28</v>
      </c>
      <c r="C124" t="s">
        <v>34</v>
      </c>
      <c r="D124" t="s">
        <v>85</v>
      </c>
      <c r="E124">
        <v>8</v>
      </c>
      <c r="F124">
        <v>0</v>
      </c>
      <c r="G124" s="6">
        <v>0</v>
      </c>
      <c r="H124" s="7"/>
      <c r="I124" s="7"/>
      <c r="J124">
        <v>0</v>
      </c>
      <c r="K124" s="6">
        <v>0</v>
      </c>
      <c r="L124">
        <v>0</v>
      </c>
      <c r="M124" s="6">
        <v>0</v>
      </c>
      <c r="N124" s="6">
        <v>0</v>
      </c>
    </row>
    <row r="125" spans="1:14" outlineLevel="3" x14ac:dyDescent="0.35">
      <c r="A125" t="s">
        <v>84</v>
      </c>
      <c r="B125" t="s">
        <v>28</v>
      </c>
      <c r="C125" t="s">
        <v>34</v>
      </c>
      <c r="D125" t="s">
        <v>60</v>
      </c>
      <c r="E125">
        <v>1</v>
      </c>
      <c r="F125">
        <v>0</v>
      </c>
      <c r="G125" s="6">
        <v>0</v>
      </c>
      <c r="H125" s="7"/>
      <c r="I125" s="7"/>
      <c r="J125">
        <v>0</v>
      </c>
      <c r="K125" s="6">
        <v>0</v>
      </c>
      <c r="L125">
        <v>0</v>
      </c>
      <c r="M125" s="6">
        <v>0</v>
      </c>
      <c r="N125" s="6">
        <v>0</v>
      </c>
    </row>
    <row r="126" spans="1:14" outlineLevel="3" x14ac:dyDescent="0.35">
      <c r="A126" t="s">
        <v>84</v>
      </c>
      <c r="B126" t="s">
        <v>28</v>
      </c>
      <c r="C126" t="s">
        <v>34</v>
      </c>
      <c r="D126" t="s">
        <v>35</v>
      </c>
      <c r="E126">
        <v>6</v>
      </c>
      <c r="F126">
        <v>0</v>
      </c>
      <c r="G126" s="6">
        <v>0</v>
      </c>
      <c r="H126" s="7"/>
      <c r="I126" s="7"/>
      <c r="J126">
        <v>0</v>
      </c>
      <c r="K126" s="6">
        <v>0</v>
      </c>
      <c r="L126">
        <v>0</v>
      </c>
      <c r="M126" s="6">
        <v>0</v>
      </c>
      <c r="N126" s="6">
        <v>0</v>
      </c>
    </row>
    <row r="127" spans="1:14" outlineLevel="3" x14ac:dyDescent="0.35">
      <c r="A127" t="s">
        <v>84</v>
      </c>
      <c r="B127" t="s">
        <v>28</v>
      </c>
      <c r="C127" t="s">
        <v>34</v>
      </c>
      <c r="D127" t="s">
        <v>49</v>
      </c>
      <c r="E127">
        <v>8</v>
      </c>
      <c r="F127">
        <v>2</v>
      </c>
      <c r="G127" s="6">
        <v>25</v>
      </c>
      <c r="H127" s="7">
        <v>3.5</v>
      </c>
      <c r="I127" s="7">
        <v>3.5</v>
      </c>
      <c r="J127">
        <v>0</v>
      </c>
      <c r="K127" s="6">
        <v>0</v>
      </c>
      <c r="L127">
        <v>0</v>
      </c>
      <c r="M127" s="6">
        <v>0</v>
      </c>
      <c r="N127" s="6">
        <v>0</v>
      </c>
    </row>
    <row r="128" spans="1:14" outlineLevel="2" collapsed="1" x14ac:dyDescent="0.35">
      <c r="A128" s="3" t="s">
        <v>36</v>
      </c>
      <c r="B128" s="3"/>
      <c r="C128" s="3"/>
      <c r="D128" s="3"/>
      <c r="E128" s="3"/>
      <c r="F128" s="3"/>
      <c r="G128" s="4"/>
      <c r="H128" s="5"/>
      <c r="I128" s="5"/>
      <c r="J128" s="3"/>
      <c r="K128" s="4"/>
      <c r="L128" s="3"/>
      <c r="M128" s="4"/>
      <c r="N128" s="4"/>
    </row>
    <row r="129" spans="1:14" outlineLevel="3" x14ac:dyDescent="0.35">
      <c r="A129" t="s">
        <v>84</v>
      </c>
      <c r="B129" t="s">
        <v>28</v>
      </c>
      <c r="C129" t="s">
        <v>37</v>
      </c>
      <c r="D129" t="s">
        <v>37</v>
      </c>
      <c r="E129">
        <v>1</v>
      </c>
      <c r="F129">
        <v>1</v>
      </c>
      <c r="G129" s="6">
        <v>100</v>
      </c>
      <c r="H129" s="7">
        <v>4</v>
      </c>
      <c r="I129" s="7">
        <v>4</v>
      </c>
      <c r="J129">
        <v>0</v>
      </c>
      <c r="K129" s="6">
        <v>0</v>
      </c>
      <c r="L129">
        <v>0</v>
      </c>
      <c r="M129" s="6">
        <v>0</v>
      </c>
      <c r="N129" s="6">
        <v>0</v>
      </c>
    </row>
    <row r="130" spans="1:14" outlineLevel="2" collapsed="1" x14ac:dyDescent="0.35">
      <c r="A130" s="3" t="s">
        <v>62</v>
      </c>
      <c r="B130" s="3"/>
      <c r="C130" s="3"/>
      <c r="D130" s="3"/>
      <c r="E130" s="3"/>
      <c r="F130" s="3"/>
      <c r="G130" s="4"/>
      <c r="H130" s="5"/>
      <c r="I130" s="5"/>
      <c r="J130" s="3"/>
      <c r="K130" s="4"/>
      <c r="L130" s="3"/>
      <c r="M130" s="4"/>
      <c r="N130" s="4"/>
    </row>
    <row r="131" spans="1:14" outlineLevel="3" x14ac:dyDescent="0.35">
      <c r="A131" t="s">
        <v>84</v>
      </c>
      <c r="B131" t="s">
        <v>28</v>
      </c>
      <c r="C131" t="s">
        <v>63</v>
      </c>
      <c r="D131" t="s">
        <v>86</v>
      </c>
      <c r="E131">
        <v>1</v>
      </c>
      <c r="F131">
        <v>1</v>
      </c>
      <c r="G131" s="6">
        <v>100</v>
      </c>
      <c r="H131" s="7">
        <v>15</v>
      </c>
      <c r="I131" s="7">
        <v>15</v>
      </c>
      <c r="J131">
        <v>0</v>
      </c>
      <c r="K131" s="6">
        <v>0</v>
      </c>
      <c r="L131">
        <v>0</v>
      </c>
      <c r="M131" s="6">
        <v>0</v>
      </c>
      <c r="N131" s="6">
        <v>0</v>
      </c>
    </row>
    <row r="132" spans="1:14" outlineLevel="2" collapsed="1" x14ac:dyDescent="0.35">
      <c r="A132" s="3" t="s">
        <v>38</v>
      </c>
      <c r="B132" s="3"/>
      <c r="C132" s="3"/>
      <c r="D132" s="3"/>
      <c r="E132" s="3"/>
      <c r="F132" s="3"/>
      <c r="G132" s="4"/>
      <c r="H132" s="5"/>
      <c r="I132" s="5"/>
      <c r="J132" s="3"/>
      <c r="K132" s="4"/>
      <c r="L132" s="3"/>
      <c r="M132" s="4"/>
      <c r="N132" s="4"/>
    </row>
    <row r="133" spans="1:14" outlineLevel="3" x14ac:dyDescent="0.35">
      <c r="A133" t="s">
        <v>84</v>
      </c>
      <c r="B133" t="s">
        <v>39</v>
      </c>
      <c r="C133" t="s">
        <v>40</v>
      </c>
      <c r="D133" t="s">
        <v>40</v>
      </c>
      <c r="E133">
        <v>78</v>
      </c>
      <c r="F133">
        <v>12</v>
      </c>
      <c r="G133" s="6">
        <v>15.38</v>
      </c>
      <c r="H133" s="7">
        <v>10</v>
      </c>
      <c r="I133" s="7">
        <v>18.29</v>
      </c>
      <c r="J133">
        <v>0</v>
      </c>
      <c r="K133" s="6">
        <v>0</v>
      </c>
      <c r="L133">
        <v>0</v>
      </c>
      <c r="M133" s="6">
        <v>0</v>
      </c>
      <c r="N133" s="6">
        <v>0</v>
      </c>
    </row>
    <row r="134" spans="1:14" outlineLevel="2" collapsed="1" x14ac:dyDescent="0.35">
      <c r="A134" s="3" t="s">
        <v>67</v>
      </c>
      <c r="B134" s="3"/>
      <c r="C134" s="3"/>
      <c r="D134" s="3"/>
      <c r="E134" s="3"/>
      <c r="F134" s="3"/>
      <c r="G134" s="4"/>
      <c r="H134" s="5"/>
      <c r="I134" s="5"/>
      <c r="J134" s="3"/>
      <c r="K134" s="4"/>
      <c r="L134" s="3"/>
      <c r="M134" s="4"/>
      <c r="N134" s="4"/>
    </row>
    <row r="135" spans="1:14" outlineLevel="3" x14ac:dyDescent="0.35">
      <c r="A135" t="s">
        <v>84</v>
      </c>
      <c r="B135" t="s">
        <v>39</v>
      </c>
      <c r="C135" t="s">
        <v>68</v>
      </c>
      <c r="D135" t="s">
        <v>68</v>
      </c>
      <c r="E135">
        <v>2</v>
      </c>
      <c r="F135">
        <v>0</v>
      </c>
      <c r="G135" s="6">
        <v>0</v>
      </c>
      <c r="H135" s="7"/>
      <c r="I135" s="7"/>
      <c r="J135">
        <v>0</v>
      </c>
      <c r="K135" s="6">
        <v>0</v>
      </c>
      <c r="L135">
        <v>0</v>
      </c>
      <c r="M135" s="6">
        <v>0</v>
      </c>
      <c r="N135" s="6">
        <v>0</v>
      </c>
    </row>
    <row r="136" spans="1:14" outlineLevel="2" collapsed="1" x14ac:dyDescent="0.35">
      <c r="A136" s="3" t="s">
        <v>87</v>
      </c>
      <c r="B136" s="3"/>
      <c r="C136" s="3"/>
      <c r="D136" s="3"/>
      <c r="E136" s="3"/>
      <c r="F136" s="3"/>
      <c r="G136" s="4"/>
      <c r="H136" s="5"/>
      <c r="I136" s="5"/>
      <c r="J136" s="3"/>
      <c r="K136" s="4"/>
      <c r="L136" s="3"/>
      <c r="M136" s="4"/>
      <c r="N136" s="4"/>
    </row>
    <row r="137" spans="1:14" outlineLevel="3" x14ac:dyDescent="0.35">
      <c r="A137" t="s">
        <v>84</v>
      </c>
      <c r="B137" t="s">
        <v>39</v>
      </c>
      <c r="C137" t="s">
        <v>72</v>
      </c>
      <c r="D137" t="s">
        <v>72</v>
      </c>
      <c r="E137">
        <v>1</v>
      </c>
      <c r="F137">
        <v>0</v>
      </c>
      <c r="G137" s="6">
        <v>0</v>
      </c>
      <c r="H137" s="7"/>
      <c r="I137" s="7"/>
      <c r="J137">
        <v>0</v>
      </c>
      <c r="K137" s="6">
        <v>0</v>
      </c>
      <c r="L137">
        <v>0</v>
      </c>
      <c r="M137" s="6">
        <v>0</v>
      </c>
      <c r="N137" s="6">
        <v>0</v>
      </c>
    </row>
    <row r="138" spans="1:14" outlineLevel="2" collapsed="1" x14ac:dyDescent="0.35">
      <c r="A138" s="3" t="s">
        <v>81</v>
      </c>
      <c r="B138" s="3"/>
      <c r="C138" s="3"/>
      <c r="D138" s="3"/>
      <c r="E138" s="3"/>
      <c r="F138" s="3"/>
      <c r="G138" s="4"/>
      <c r="H138" s="5"/>
      <c r="I138" s="5"/>
      <c r="J138" s="3"/>
      <c r="K138" s="4"/>
      <c r="L138" s="3"/>
      <c r="M138" s="4"/>
      <c r="N138" s="4"/>
    </row>
    <row r="139" spans="1:14" outlineLevel="3" x14ac:dyDescent="0.35">
      <c r="A139" t="s">
        <v>84</v>
      </c>
      <c r="B139" t="s">
        <v>39</v>
      </c>
      <c r="C139" t="s">
        <v>82</v>
      </c>
      <c r="D139" t="s">
        <v>82</v>
      </c>
      <c r="E139">
        <v>1</v>
      </c>
      <c r="F139">
        <v>0</v>
      </c>
      <c r="G139" s="6">
        <v>0</v>
      </c>
      <c r="H139" s="7">
        <v>31</v>
      </c>
      <c r="I139" s="7">
        <v>31</v>
      </c>
      <c r="J139">
        <v>0</v>
      </c>
      <c r="K139" s="6">
        <v>0</v>
      </c>
      <c r="L139">
        <v>0</v>
      </c>
      <c r="M139" s="6">
        <v>0</v>
      </c>
      <c r="N139" s="6">
        <v>0</v>
      </c>
    </row>
    <row r="140" spans="1:14" outlineLevel="2" collapsed="1" x14ac:dyDescent="0.35">
      <c r="A140" s="3" t="s">
        <v>41</v>
      </c>
      <c r="B140" s="3"/>
      <c r="C140" s="3"/>
      <c r="D140" s="3"/>
      <c r="E140" s="3"/>
      <c r="F140" s="3"/>
      <c r="G140" s="4"/>
      <c r="H140" s="5"/>
      <c r="I140" s="5"/>
      <c r="J140" s="3"/>
      <c r="K140" s="4"/>
      <c r="L140" s="3"/>
      <c r="M140" s="4"/>
      <c r="N140" s="4"/>
    </row>
    <row r="141" spans="1:14" outlineLevel="3" x14ac:dyDescent="0.35">
      <c r="A141" t="s">
        <v>84</v>
      </c>
      <c r="B141" t="s">
        <v>39</v>
      </c>
      <c r="C141" t="s">
        <v>42</v>
      </c>
      <c r="D141" t="s">
        <v>42</v>
      </c>
      <c r="E141">
        <v>3</v>
      </c>
      <c r="F141">
        <v>1</v>
      </c>
      <c r="G141" s="6">
        <v>33.33</v>
      </c>
      <c r="H141" s="7">
        <v>22</v>
      </c>
      <c r="I141" s="7">
        <v>22</v>
      </c>
      <c r="J141">
        <v>0</v>
      </c>
      <c r="K141" s="6">
        <v>0</v>
      </c>
      <c r="L141">
        <v>0</v>
      </c>
      <c r="M141" s="6">
        <v>0</v>
      </c>
      <c r="N141" s="6">
        <v>0</v>
      </c>
    </row>
    <row r="142" spans="1:14" outlineLevel="2" collapsed="1" x14ac:dyDescent="0.35">
      <c r="A142" s="3" t="s">
        <v>43</v>
      </c>
      <c r="B142" s="3"/>
      <c r="C142" s="3"/>
      <c r="D142" s="3"/>
      <c r="E142" s="3"/>
      <c r="F142" s="3"/>
      <c r="G142" s="4"/>
      <c r="H142" s="5"/>
      <c r="I142" s="5"/>
      <c r="J142" s="3"/>
      <c r="K142" s="4"/>
      <c r="L142" s="3"/>
      <c r="M142" s="4"/>
      <c r="N142" s="4"/>
    </row>
    <row r="143" spans="1:14" outlineLevel="3" x14ac:dyDescent="0.35">
      <c r="A143" t="s">
        <v>84</v>
      </c>
      <c r="B143" t="s">
        <v>39</v>
      </c>
      <c r="C143" t="s">
        <v>44</v>
      </c>
      <c r="D143" t="s">
        <v>44</v>
      </c>
      <c r="E143">
        <v>7</v>
      </c>
      <c r="F143">
        <v>0</v>
      </c>
      <c r="G143" s="6">
        <v>0</v>
      </c>
      <c r="H143" s="7"/>
      <c r="I143" s="7"/>
      <c r="J143">
        <v>0</v>
      </c>
      <c r="K143" s="6">
        <v>0</v>
      </c>
      <c r="L143">
        <v>0</v>
      </c>
      <c r="M143" s="6">
        <v>0</v>
      </c>
      <c r="N143" s="6">
        <v>0</v>
      </c>
    </row>
    <row r="144" spans="1:14" outlineLevel="1" collapsed="1" x14ac:dyDescent="0.35">
      <c r="A144" s="3" t="s">
        <v>88</v>
      </c>
      <c r="B144" s="3"/>
      <c r="C144" s="3"/>
      <c r="D144" s="3"/>
      <c r="E144" s="3"/>
      <c r="F144" s="3"/>
      <c r="G144" s="4"/>
      <c r="H144" s="5"/>
      <c r="I144" s="5"/>
      <c r="J144" s="3"/>
      <c r="K144" s="4"/>
      <c r="L144" s="3"/>
      <c r="M144" s="4"/>
      <c r="N144" s="4"/>
    </row>
    <row r="145" spans="1:14" outlineLevel="2" collapsed="1" x14ac:dyDescent="0.35">
      <c r="A145" s="3" t="s">
        <v>26</v>
      </c>
      <c r="B145" s="3"/>
      <c r="C145" s="3"/>
      <c r="D145" s="3"/>
      <c r="E145" s="3"/>
      <c r="F145" s="3"/>
      <c r="G145" s="4"/>
      <c r="H145" s="5"/>
      <c r="I145" s="5"/>
      <c r="J145" s="3"/>
      <c r="K145" s="4"/>
      <c r="L145" s="3"/>
      <c r="M145" s="4"/>
      <c r="N145" s="4"/>
    </row>
    <row r="146" spans="1:14" outlineLevel="3" x14ac:dyDescent="0.35">
      <c r="A146" t="s">
        <v>89</v>
      </c>
      <c r="B146" t="s">
        <v>28</v>
      </c>
      <c r="C146" t="s">
        <v>29</v>
      </c>
      <c r="D146" t="s">
        <v>29</v>
      </c>
      <c r="E146">
        <v>2</v>
      </c>
      <c r="F146">
        <v>1</v>
      </c>
      <c r="G146" s="6">
        <v>50</v>
      </c>
      <c r="H146" s="7">
        <v>3</v>
      </c>
      <c r="I146" s="7">
        <v>3</v>
      </c>
      <c r="J146">
        <v>0</v>
      </c>
      <c r="K146" s="6">
        <v>0</v>
      </c>
      <c r="L146">
        <v>0</v>
      </c>
      <c r="M146" s="6">
        <v>0</v>
      </c>
      <c r="N146" s="6">
        <v>0</v>
      </c>
    </row>
    <row r="147" spans="1:14" outlineLevel="2" collapsed="1" x14ac:dyDescent="0.35">
      <c r="A147" s="3" t="s">
        <v>71</v>
      </c>
      <c r="B147" s="3"/>
      <c r="C147" s="3"/>
      <c r="D147" s="3"/>
      <c r="E147" s="3"/>
      <c r="F147" s="3"/>
      <c r="G147" s="4"/>
      <c r="H147" s="5"/>
      <c r="I147" s="5"/>
      <c r="J147" s="3"/>
      <c r="K147" s="4"/>
      <c r="L147" s="3"/>
      <c r="M147" s="4"/>
      <c r="N147" s="4"/>
    </row>
    <row r="148" spans="1:14" outlineLevel="3" x14ac:dyDescent="0.35">
      <c r="A148" t="s">
        <v>89</v>
      </c>
      <c r="B148" t="s">
        <v>28</v>
      </c>
      <c r="C148" t="s">
        <v>72</v>
      </c>
      <c r="D148" t="s">
        <v>73</v>
      </c>
      <c r="E148">
        <v>146</v>
      </c>
      <c r="F148">
        <v>0</v>
      </c>
      <c r="G148" s="6">
        <v>0</v>
      </c>
      <c r="H148" s="7"/>
      <c r="I148" s="7"/>
      <c r="J148">
        <v>0</v>
      </c>
      <c r="K148" s="6">
        <v>0</v>
      </c>
      <c r="L148">
        <v>0</v>
      </c>
      <c r="M148" s="6">
        <v>0</v>
      </c>
      <c r="N148" s="6">
        <v>0</v>
      </c>
    </row>
    <row r="149" spans="1:14" outlineLevel="3" x14ac:dyDescent="0.35">
      <c r="A149" t="s">
        <v>89</v>
      </c>
      <c r="B149" t="s">
        <v>28</v>
      </c>
      <c r="C149" t="s">
        <v>72</v>
      </c>
      <c r="D149" t="s">
        <v>80</v>
      </c>
      <c r="E149">
        <v>128</v>
      </c>
      <c r="F149">
        <v>0</v>
      </c>
      <c r="G149" s="6">
        <v>0</v>
      </c>
      <c r="H149" s="7"/>
      <c r="I149" s="7"/>
      <c r="J149">
        <v>0</v>
      </c>
      <c r="K149" s="6">
        <v>0</v>
      </c>
      <c r="L149">
        <v>0</v>
      </c>
      <c r="M149" s="6">
        <v>0</v>
      </c>
      <c r="N149" s="6">
        <v>0</v>
      </c>
    </row>
    <row r="150" spans="1:14" outlineLevel="3" x14ac:dyDescent="0.35">
      <c r="A150" t="s">
        <v>89</v>
      </c>
      <c r="B150" t="s">
        <v>28</v>
      </c>
      <c r="C150" t="s">
        <v>72</v>
      </c>
      <c r="D150" t="s">
        <v>90</v>
      </c>
      <c r="E150">
        <v>10</v>
      </c>
      <c r="F150">
        <v>1</v>
      </c>
      <c r="G150" s="6">
        <v>10</v>
      </c>
      <c r="H150" s="7">
        <v>5</v>
      </c>
      <c r="I150" s="7">
        <v>5</v>
      </c>
      <c r="J150">
        <v>0</v>
      </c>
      <c r="K150" s="6">
        <v>0</v>
      </c>
      <c r="L150">
        <v>0</v>
      </c>
      <c r="M150" s="6">
        <v>0</v>
      </c>
      <c r="N150" s="6">
        <v>0</v>
      </c>
    </row>
    <row r="151" spans="1:14" outlineLevel="2" collapsed="1" x14ac:dyDescent="0.35">
      <c r="A151" s="3" t="s">
        <v>30</v>
      </c>
      <c r="B151" s="3"/>
      <c r="C151" s="3"/>
      <c r="D151" s="3"/>
      <c r="E151" s="3"/>
      <c r="F151" s="3"/>
      <c r="G151" s="4"/>
      <c r="H151" s="5"/>
      <c r="I151" s="5"/>
      <c r="J151" s="3"/>
      <c r="K151" s="4"/>
      <c r="L151" s="3"/>
      <c r="M151" s="4"/>
      <c r="N151" s="4"/>
    </row>
    <row r="152" spans="1:14" outlineLevel="3" x14ac:dyDescent="0.35">
      <c r="A152" t="s">
        <v>89</v>
      </c>
      <c r="B152" t="s">
        <v>28</v>
      </c>
      <c r="C152" t="s">
        <v>31</v>
      </c>
      <c r="D152" t="s">
        <v>47</v>
      </c>
      <c r="E152">
        <v>3</v>
      </c>
      <c r="F152">
        <v>1</v>
      </c>
      <c r="G152" s="6">
        <v>33.33</v>
      </c>
      <c r="H152" s="7">
        <v>6</v>
      </c>
      <c r="I152" s="7">
        <v>6</v>
      </c>
      <c r="J152">
        <v>0</v>
      </c>
      <c r="K152" s="6">
        <v>0</v>
      </c>
      <c r="L152">
        <v>0</v>
      </c>
      <c r="M152" s="6">
        <v>0</v>
      </c>
      <c r="N152" s="6">
        <v>0</v>
      </c>
    </row>
    <row r="153" spans="1:14" outlineLevel="3" x14ac:dyDescent="0.35">
      <c r="A153" t="s">
        <v>89</v>
      </c>
      <c r="B153" t="s">
        <v>28</v>
      </c>
      <c r="C153" t="s">
        <v>31</v>
      </c>
      <c r="D153" t="s">
        <v>76</v>
      </c>
      <c r="E153">
        <v>1</v>
      </c>
      <c r="F153">
        <v>1</v>
      </c>
      <c r="G153" s="6">
        <v>100</v>
      </c>
      <c r="H153" s="7">
        <v>0</v>
      </c>
      <c r="I153" s="7">
        <v>0</v>
      </c>
      <c r="J153">
        <v>0</v>
      </c>
      <c r="K153" s="6">
        <v>0</v>
      </c>
      <c r="L153">
        <v>0</v>
      </c>
      <c r="M153" s="6">
        <v>0</v>
      </c>
      <c r="N153" s="6">
        <v>0</v>
      </c>
    </row>
    <row r="154" spans="1:14" outlineLevel="3" x14ac:dyDescent="0.35">
      <c r="A154" t="s">
        <v>89</v>
      </c>
      <c r="B154" t="s">
        <v>28</v>
      </c>
      <c r="C154" t="s">
        <v>31</v>
      </c>
      <c r="D154" t="s">
        <v>32</v>
      </c>
      <c r="E154">
        <v>1</v>
      </c>
      <c r="F154">
        <v>1</v>
      </c>
      <c r="G154" s="6">
        <v>100</v>
      </c>
      <c r="H154" s="7">
        <v>4</v>
      </c>
      <c r="I154" s="7">
        <v>4</v>
      </c>
      <c r="J154">
        <v>0</v>
      </c>
      <c r="K154" s="6">
        <v>0</v>
      </c>
      <c r="L154">
        <v>0</v>
      </c>
      <c r="M154" s="6">
        <v>0</v>
      </c>
      <c r="N154" s="6">
        <v>0</v>
      </c>
    </row>
    <row r="155" spans="1:14" outlineLevel="2" collapsed="1" x14ac:dyDescent="0.35">
      <c r="A155" s="3" t="s">
        <v>33</v>
      </c>
      <c r="B155" s="3"/>
      <c r="C155" s="3"/>
      <c r="D155" s="3"/>
      <c r="E155" s="3"/>
      <c r="F155" s="3"/>
      <c r="G155" s="4"/>
      <c r="H155" s="5"/>
      <c r="I155" s="5"/>
      <c r="J155" s="3"/>
      <c r="K155" s="4"/>
      <c r="L155" s="3"/>
      <c r="M155" s="4"/>
      <c r="N155" s="4"/>
    </row>
    <row r="156" spans="1:14" outlineLevel="3" x14ac:dyDescent="0.35">
      <c r="A156" t="s">
        <v>89</v>
      </c>
      <c r="B156" t="s">
        <v>28</v>
      </c>
      <c r="C156" t="s">
        <v>34</v>
      </c>
      <c r="D156" t="s">
        <v>56</v>
      </c>
      <c r="E156">
        <v>1</v>
      </c>
      <c r="F156">
        <v>0</v>
      </c>
      <c r="G156" s="6">
        <v>0</v>
      </c>
      <c r="H156" s="7"/>
      <c r="I156" s="7"/>
      <c r="J156">
        <v>0</v>
      </c>
      <c r="K156" s="6">
        <v>0</v>
      </c>
      <c r="L156">
        <v>0</v>
      </c>
      <c r="M156" s="6">
        <v>0</v>
      </c>
      <c r="N156" s="6">
        <v>0</v>
      </c>
    </row>
    <row r="157" spans="1:14" outlineLevel="3" x14ac:dyDescent="0.35">
      <c r="A157" t="s">
        <v>89</v>
      </c>
      <c r="B157" t="s">
        <v>28</v>
      </c>
      <c r="C157" t="s">
        <v>34</v>
      </c>
      <c r="D157" t="s">
        <v>77</v>
      </c>
      <c r="E157">
        <v>4</v>
      </c>
      <c r="F157">
        <v>0</v>
      </c>
      <c r="G157" s="6">
        <v>0</v>
      </c>
      <c r="H157" s="7"/>
      <c r="I157" s="7"/>
      <c r="J157">
        <v>0</v>
      </c>
      <c r="K157" s="6">
        <v>0</v>
      </c>
      <c r="L157">
        <v>0</v>
      </c>
      <c r="M157" s="6">
        <v>0</v>
      </c>
      <c r="N157" s="6">
        <v>0</v>
      </c>
    </row>
    <row r="158" spans="1:14" outlineLevel="3" x14ac:dyDescent="0.35">
      <c r="A158" t="s">
        <v>89</v>
      </c>
      <c r="B158" t="s">
        <v>28</v>
      </c>
      <c r="C158" t="s">
        <v>34</v>
      </c>
      <c r="D158" t="s">
        <v>85</v>
      </c>
      <c r="E158">
        <v>11</v>
      </c>
      <c r="F158">
        <v>0</v>
      </c>
      <c r="G158" s="6">
        <v>0</v>
      </c>
      <c r="H158" s="7">
        <v>6</v>
      </c>
      <c r="I158" s="7">
        <v>6</v>
      </c>
      <c r="J158">
        <v>0</v>
      </c>
      <c r="K158" s="6">
        <v>0</v>
      </c>
      <c r="L158">
        <v>0</v>
      </c>
      <c r="M158" s="6">
        <v>0</v>
      </c>
      <c r="N158" s="6">
        <v>0</v>
      </c>
    </row>
    <row r="159" spans="1:14" outlineLevel="3" x14ac:dyDescent="0.35">
      <c r="A159" t="s">
        <v>89</v>
      </c>
      <c r="B159" t="s">
        <v>28</v>
      </c>
      <c r="C159" t="s">
        <v>34</v>
      </c>
      <c r="D159" t="s">
        <v>35</v>
      </c>
      <c r="E159">
        <v>11</v>
      </c>
      <c r="F159">
        <v>0</v>
      </c>
      <c r="G159" s="6">
        <v>0</v>
      </c>
      <c r="H159" s="7"/>
      <c r="I159" s="7"/>
      <c r="J159">
        <v>0</v>
      </c>
      <c r="K159" s="6">
        <v>0</v>
      </c>
      <c r="L159">
        <v>0</v>
      </c>
      <c r="M159" s="6">
        <v>0</v>
      </c>
      <c r="N159" s="6">
        <v>0</v>
      </c>
    </row>
    <row r="160" spans="1:14" outlineLevel="3" x14ac:dyDescent="0.35">
      <c r="A160" t="s">
        <v>89</v>
      </c>
      <c r="B160" t="s">
        <v>28</v>
      </c>
      <c r="C160" t="s">
        <v>34</v>
      </c>
      <c r="D160" t="s">
        <v>49</v>
      </c>
      <c r="E160">
        <v>14</v>
      </c>
      <c r="F160">
        <v>2</v>
      </c>
      <c r="G160" s="6">
        <v>14.29</v>
      </c>
      <c r="H160" s="7">
        <v>0</v>
      </c>
      <c r="I160" s="7">
        <v>0.67</v>
      </c>
      <c r="J160">
        <v>0</v>
      </c>
      <c r="K160" s="6">
        <v>0</v>
      </c>
      <c r="L160">
        <v>0</v>
      </c>
      <c r="M160" s="6">
        <v>0</v>
      </c>
      <c r="N160" s="6">
        <v>0</v>
      </c>
    </row>
    <row r="161" spans="1:14" outlineLevel="2" collapsed="1" x14ac:dyDescent="0.35">
      <c r="A161" s="3" t="s">
        <v>62</v>
      </c>
      <c r="B161" s="3"/>
      <c r="C161" s="3"/>
      <c r="D161" s="3"/>
      <c r="E161" s="3"/>
      <c r="F161" s="3"/>
      <c r="G161" s="4"/>
      <c r="H161" s="5"/>
      <c r="I161" s="5"/>
      <c r="J161" s="3"/>
      <c r="K161" s="4"/>
      <c r="L161" s="3"/>
      <c r="M161" s="4"/>
      <c r="N161" s="4"/>
    </row>
    <row r="162" spans="1:14" outlineLevel="3" x14ac:dyDescent="0.35">
      <c r="A162" t="s">
        <v>89</v>
      </c>
      <c r="B162" t="s">
        <v>28</v>
      </c>
      <c r="C162" t="s">
        <v>63</v>
      </c>
      <c r="D162" t="s">
        <v>91</v>
      </c>
      <c r="E162">
        <v>1</v>
      </c>
      <c r="F162">
        <v>1</v>
      </c>
      <c r="G162" s="6">
        <v>100</v>
      </c>
      <c r="H162" s="7">
        <v>27</v>
      </c>
      <c r="I162" s="7">
        <v>27</v>
      </c>
      <c r="J162">
        <v>0</v>
      </c>
      <c r="K162" s="6">
        <v>0</v>
      </c>
      <c r="L162">
        <v>0</v>
      </c>
      <c r="M162" s="6">
        <v>0</v>
      </c>
      <c r="N162" s="6">
        <v>0</v>
      </c>
    </row>
    <row r="163" spans="1:14" outlineLevel="2" collapsed="1" x14ac:dyDescent="0.35">
      <c r="A163" s="3" t="s">
        <v>38</v>
      </c>
      <c r="B163" s="3"/>
      <c r="C163" s="3"/>
      <c r="D163" s="3"/>
      <c r="E163" s="3"/>
      <c r="F163" s="3"/>
      <c r="G163" s="4"/>
      <c r="H163" s="5"/>
      <c r="I163" s="5"/>
      <c r="J163" s="3"/>
      <c r="K163" s="4"/>
      <c r="L163" s="3"/>
      <c r="M163" s="4"/>
      <c r="N163" s="4"/>
    </row>
    <row r="164" spans="1:14" outlineLevel="3" x14ac:dyDescent="0.35">
      <c r="A164" t="s">
        <v>89</v>
      </c>
      <c r="B164" t="s">
        <v>39</v>
      </c>
      <c r="C164" t="s">
        <v>40</v>
      </c>
      <c r="D164" t="s">
        <v>40</v>
      </c>
      <c r="E164">
        <v>31</v>
      </c>
      <c r="F164">
        <v>9</v>
      </c>
      <c r="G164" s="6">
        <v>29.03</v>
      </c>
      <c r="H164" s="7">
        <v>12</v>
      </c>
      <c r="I164" s="7">
        <v>25.89</v>
      </c>
      <c r="J164">
        <v>0</v>
      </c>
      <c r="K164" s="6">
        <v>0</v>
      </c>
      <c r="L164">
        <v>0</v>
      </c>
      <c r="M164" s="6">
        <v>0</v>
      </c>
      <c r="N164" s="6">
        <v>0</v>
      </c>
    </row>
    <row r="165" spans="1:14" outlineLevel="2" collapsed="1" x14ac:dyDescent="0.35">
      <c r="A165" s="3" t="s">
        <v>41</v>
      </c>
      <c r="B165" s="3"/>
      <c r="C165" s="3"/>
      <c r="D165" s="3"/>
      <c r="E165" s="3"/>
      <c r="F165" s="3"/>
      <c r="G165" s="4"/>
      <c r="H165" s="5"/>
      <c r="I165" s="5"/>
      <c r="J165" s="3"/>
      <c r="K165" s="4"/>
      <c r="L165" s="3"/>
      <c r="M165" s="4"/>
      <c r="N165" s="4"/>
    </row>
    <row r="166" spans="1:14" outlineLevel="3" x14ac:dyDescent="0.35">
      <c r="A166" t="s">
        <v>89</v>
      </c>
      <c r="B166" t="s">
        <v>39</v>
      </c>
      <c r="C166" t="s">
        <v>42</v>
      </c>
      <c r="D166" t="s">
        <v>42</v>
      </c>
      <c r="E166">
        <v>3</v>
      </c>
      <c r="F166">
        <v>0</v>
      </c>
      <c r="G166" s="6">
        <v>0</v>
      </c>
      <c r="H166" s="7"/>
      <c r="I166" s="7"/>
      <c r="J166">
        <v>0</v>
      </c>
      <c r="K166" s="6">
        <v>0</v>
      </c>
      <c r="L166">
        <v>0</v>
      </c>
      <c r="M166" s="6">
        <v>0</v>
      </c>
      <c r="N166" s="6">
        <v>0</v>
      </c>
    </row>
    <row r="167" spans="1:14" outlineLevel="1" collapsed="1" x14ac:dyDescent="0.35">
      <c r="A167" s="3" t="s">
        <v>92</v>
      </c>
      <c r="B167" s="3"/>
      <c r="C167" s="3"/>
      <c r="D167" s="3"/>
      <c r="E167" s="3"/>
      <c r="F167" s="3"/>
      <c r="G167" s="4"/>
      <c r="H167" s="5"/>
      <c r="I167" s="5"/>
      <c r="J167" s="3"/>
      <c r="K167" s="4"/>
      <c r="L167" s="3"/>
      <c r="M167" s="4"/>
      <c r="N167" s="4"/>
    </row>
    <row r="168" spans="1:14" outlineLevel="2" collapsed="1" x14ac:dyDescent="0.35">
      <c r="A168" s="3" t="s">
        <v>71</v>
      </c>
      <c r="B168" s="3"/>
      <c r="C168" s="3"/>
      <c r="D168" s="3"/>
      <c r="E168" s="3"/>
      <c r="F168" s="3"/>
      <c r="G168" s="4"/>
      <c r="H168" s="5"/>
      <c r="I168" s="5"/>
      <c r="J168" s="3"/>
      <c r="K168" s="4"/>
      <c r="L168" s="3"/>
      <c r="M168" s="4"/>
      <c r="N168" s="4"/>
    </row>
    <row r="169" spans="1:14" outlineLevel="3" x14ac:dyDescent="0.35">
      <c r="A169" t="s">
        <v>93</v>
      </c>
      <c r="B169" t="s">
        <v>28</v>
      </c>
      <c r="C169" t="s">
        <v>72</v>
      </c>
      <c r="D169" t="s">
        <v>73</v>
      </c>
      <c r="E169">
        <v>103</v>
      </c>
      <c r="F169">
        <v>0</v>
      </c>
      <c r="G169" s="6">
        <v>0</v>
      </c>
      <c r="H169" s="7">
        <v>109</v>
      </c>
      <c r="I169" s="7">
        <v>109</v>
      </c>
      <c r="J169">
        <v>0</v>
      </c>
      <c r="K169" s="6">
        <v>0</v>
      </c>
      <c r="L169">
        <v>0</v>
      </c>
      <c r="M169" s="6">
        <v>0</v>
      </c>
      <c r="N169" s="6">
        <v>0</v>
      </c>
    </row>
    <row r="170" spans="1:14" outlineLevel="3" x14ac:dyDescent="0.35">
      <c r="A170" t="s">
        <v>93</v>
      </c>
      <c r="B170" t="s">
        <v>28</v>
      </c>
      <c r="C170" t="s">
        <v>72</v>
      </c>
      <c r="D170" t="s">
        <v>80</v>
      </c>
      <c r="E170">
        <v>78</v>
      </c>
      <c r="F170">
        <v>1</v>
      </c>
      <c r="G170" s="6">
        <v>1.28</v>
      </c>
      <c r="H170" s="7">
        <v>11.5</v>
      </c>
      <c r="I170" s="7">
        <v>11.5</v>
      </c>
      <c r="J170">
        <v>0</v>
      </c>
      <c r="K170" s="6">
        <v>0</v>
      </c>
      <c r="L170">
        <v>0</v>
      </c>
      <c r="M170" s="6">
        <v>0</v>
      </c>
      <c r="N170" s="6">
        <v>0</v>
      </c>
    </row>
    <row r="171" spans="1:14" outlineLevel="3" x14ac:dyDescent="0.35">
      <c r="A171" t="s">
        <v>93</v>
      </c>
      <c r="B171" t="s">
        <v>28</v>
      </c>
      <c r="C171" t="s">
        <v>72</v>
      </c>
      <c r="D171" t="s">
        <v>90</v>
      </c>
      <c r="E171">
        <v>6</v>
      </c>
      <c r="F171">
        <v>1</v>
      </c>
      <c r="G171" s="6">
        <v>16.670000000000002</v>
      </c>
      <c r="H171" s="7">
        <v>7</v>
      </c>
      <c r="I171" s="7">
        <v>7</v>
      </c>
      <c r="J171">
        <v>0</v>
      </c>
      <c r="K171" s="6">
        <v>0</v>
      </c>
      <c r="L171">
        <v>0</v>
      </c>
      <c r="M171" s="6">
        <v>0</v>
      </c>
      <c r="N171" s="6">
        <v>0</v>
      </c>
    </row>
    <row r="172" spans="1:14" outlineLevel="2" collapsed="1" x14ac:dyDescent="0.35">
      <c r="A172" s="3" t="s">
        <v>33</v>
      </c>
      <c r="B172" s="3"/>
      <c r="C172" s="3"/>
      <c r="D172" s="3"/>
      <c r="E172" s="3"/>
      <c r="F172" s="3"/>
      <c r="G172" s="4"/>
      <c r="H172" s="5"/>
      <c r="I172" s="5"/>
      <c r="J172" s="3"/>
      <c r="K172" s="4"/>
      <c r="L172" s="3"/>
      <c r="M172" s="4"/>
      <c r="N172" s="4"/>
    </row>
    <row r="173" spans="1:14" outlineLevel="3" x14ac:dyDescent="0.35">
      <c r="A173" t="s">
        <v>93</v>
      </c>
      <c r="B173" t="s">
        <v>28</v>
      </c>
      <c r="C173" t="s">
        <v>34</v>
      </c>
      <c r="D173" t="s">
        <v>77</v>
      </c>
      <c r="E173">
        <v>1</v>
      </c>
      <c r="F173">
        <v>0</v>
      </c>
      <c r="G173" s="6">
        <v>0</v>
      </c>
      <c r="H173" s="7">
        <v>37</v>
      </c>
      <c r="I173" s="7">
        <v>37</v>
      </c>
      <c r="J173">
        <v>0</v>
      </c>
      <c r="K173" s="6">
        <v>0</v>
      </c>
      <c r="L173">
        <v>0</v>
      </c>
      <c r="M173" s="6">
        <v>0</v>
      </c>
      <c r="N173" s="6">
        <v>0</v>
      </c>
    </row>
    <row r="174" spans="1:14" outlineLevel="3" x14ac:dyDescent="0.35">
      <c r="A174" t="s">
        <v>93</v>
      </c>
      <c r="B174" t="s">
        <v>28</v>
      </c>
      <c r="C174" t="s">
        <v>34</v>
      </c>
      <c r="D174" t="s">
        <v>85</v>
      </c>
      <c r="E174">
        <v>4</v>
      </c>
      <c r="F174">
        <v>0</v>
      </c>
      <c r="G174" s="6">
        <v>0</v>
      </c>
      <c r="H174" s="7"/>
      <c r="I174" s="7"/>
      <c r="J174">
        <v>0</v>
      </c>
      <c r="K174" s="6">
        <v>0</v>
      </c>
      <c r="L174">
        <v>0</v>
      </c>
      <c r="M174" s="6">
        <v>0</v>
      </c>
      <c r="N174" s="6">
        <v>0</v>
      </c>
    </row>
    <row r="175" spans="1:14" outlineLevel="3" x14ac:dyDescent="0.35">
      <c r="A175" t="s">
        <v>93</v>
      </c>
      <c r="B175" t="s">
        <v>28</v>
      </c>
      <c r="C175" t="s">
        <v>34</v>
      </c>
      <c r="D175" t="s">
        <v>35</v>
      </c>
      <c r="E175">
        <v>10</v>
      </c>
      <c r="F175">
        <v>0</v>
      </c>
      <c r="G175" s="6">
        <v>0</v>
      </c>
      <c r="H175" s="7"/>
      <c r="I175" s="7"/>
      <c r="J175">
        <v>0</v>
      </c>
      <c r="K175" s="6">
        <v>0</v>
      </c>
      <c r="L175">
        <v>0</v>
      </c>
      <c r="M175" s="6">
        <v>0</v>
      </c>
      <c r="N175" s="6">
        <v>0</v>
      </c>
    </row>
    <row r="176" spans="1:14" outlineLevel="3" x14ac:dyDescent="0.35">
      <c r="A176" t="s">
        <v>93</v>
      </c>
      <c r="B176" t="s">
        <v>28</v>
      </c>
      <c r="C176" t="s">
        <v>34</v>
      </c>
      <c r="D176" t="s">
        <v>49</v>
      </c>
      <c r="E176">
        <v>9</v>
      </c>
      <c r="F176">
        <v>2</v>
      </c>
      <c r="G176" s="6">
        <v>22.22</v>
      </c>
      <c r="H176" s="7">
        <v>8</v>
      </c>
      <c r="I176" s="7">
        <v>8</v>
      </c>
      <c r="J176">
        <v>0</v>
      </c>
      <c r="K176" s="6">
        <v>0</v>
      </c>
      <c r="L176">
        <v>0</v>
      </c>
      <c r="M176" s="6">
        <v>0</v>
      </c>
      <c r="N176" s="6">
        <v>0</v>
      </c>
    </row>
    <row r="177" spans="1:14" outlineLevel="2" collapsed="1" x14ac:dyDescent="0.35">
      <c r="A177" s="3" t="s">
        <v>38</v>
      </c>
      <c r="B177" s="3"/>
      <c r="C177" s="3"/>
      <c r="D177" s="3"/>
      <c r="E177" s="3"/>
      <c r="F177" s="3"/>
      <c r="G177" s="4"/>
      <c r="H177" s="5"/>
      <c r="I177" s="5"/>
      <c r="J177" s="3"/>
      <c r="K177" s="4"/>
      <c r="L177" s="3"/>
      <c r="M177" s="4"/>
      <c r="N177" s="4"/>
    </row>
    <row r="178" spans="1:14" outlineLevel="3" x14ac:dyDescent="0.35">
      <c r="A178" t="s">
        <v>93</v>
      </c>
      <c r="B178" t="s">
        <v>39</v>
      </c>
      <c r="C178" t="s">
        <v>40</v>
      </c>
      <c r="D178" t="s">
        <v>40</v>
      </c>
      <c r="E178">
        <v>5</v>
      </c>
      <c r="F178">
        <v>3</v>
      </c>
      <c r="G178" s="6">
        <v>60</v>
      </c>
      <c r="H178" s="7">
        <v>6</v>
      </c>
      <c r="I178" s="7">
        <v>4.67</v>
      </c>
      <c r="J178">
        <v>0</v>
      </c>
      <c r="K178" s="6">
        <v>0</v>
      </c>
      <c r="L178">
        <v>0</v>
      </c>
      <c r="M178" s="6">
        <v>0</v>
      </c>
      <c r="N178" s="6">
        <v>0</v>
      </c>
    </row>
    <row r="179" spans="1:14" outlineLevel="1" collapsed="1" x14ac:dyDescent="0.35">
      <c r="A179" s="3" t="s">
        <v>94</v>
      </c>
      <c r="B179" s="3"/>
      <c r="C179" s="3"/>
      <c r="D179" s="3"/>
      <c r="E179" s="3"/>
      <c r="F179" s="3"/>
      <c r="G179" s="4"/>
      <c r="H179" s="5"/>
      <c r="I179" s="5"/>
      <c r="J179" s="3"/>
      <c r="K179" s="4"/>
      <c r="L179" s="3"/>
      <c r="M179" s="4"/>
      <c r="N179" s="4"/>
    </row>
    <row r="180" spans="1:14" outlineLevel="2" collapsed="1" x14ac:dyDescent="0.35">
      <c r="A180" s="3" t="s">
        <v>26</v>
      </c>
      <c r="B180" s="3"/>
      <c r="C180" s="3"/>
      <c r="D180" s="3"/>
      <c r="E180" s="3"/>
      <c r="F180" s="3"/>
      <c r="G180" s="4"/>
      <c r="H180" s="5"/>
      <c r="I180" s="5"/>
      <c r="J180" s="3"/>
      <c r="K180" s="4"/>
      <c r="L180" s="3"/>
      <c r="M180" s="4"/>
      <c r="N180" s="4"/>
    </row>
    <row r="181" spans="1:14" outlineLevel="3" x14ac:dyDescent="0.35">
      <c r="A181" t="s">
        <v>95</v>
      </c>
      <c r="B181" t="s">
        <v>28</v>
      </c>
      <c r="C181" t="s">
        <v>29</v>
      </c>
      <c r="D181" t="s">
        <v>29</v>
      </c>
      <c r="E181">
        <v>1</v>
      </c>
      <c r="F181">
        <v>1</v>
      </c>
      <c r="G181" s="6">
        <v>100</v>
      </c>
      <c r="H181" s="7">
        <v>2</v>
      </c>
      <c r="I181" s="7">
        <v>2</v>
      </c>
      <c r="J181">
        <v>0</v>
      </c>
      <c r="K181" s="6">
        <v>0</v>
      </c>
      <c r="L181">
        <v>0</v>
      </c>
      <c r="M181" s="6">
        <v>0</v>
      </c>
      <c r="N181" s="6">
        <v>0</v>
      </c>
    </row>
    <row r="182" spans="1:14" outlineLevel="2" collapsed="1" x14ac:dyDescent="0.35">
      <c r="A182" s="3" t="s">
        <v>71</v>
      </c>
      <c r="B182" s="3"/>
      <c r="C182" s="3"/>
      <c r="D182" s="3"/>
      <c r="E182" s="3"/>
      <c r="F182" s="3"/>
      <c r="G182" s="4"/>
      <c r="H182" s="5"/>
      <c r="I182" s="5"/>
      <c r="J182" s="3"/>
      <c r="K182" s="4"/>
      <c r="L182" s="3"/>
      <c r="M182" s="4"/>
      <c r="N182" s="4"/>
    </row>
    <row r="183" spans="1:14" outlineLevel="3" x14ac:dyDescent="0.35">
      <c r="A183" t="s">
        <v>95</v>
      </c>
      <c r="B183" t="s">
        <v>28</v>
      </c>
      <c r="C183" t="s">
        <v>72</v>
      </c>
      <c r="D183" t="s">
        <v>73</v>
      </c>
      <c r="E183">
        <v>4</v>
      </c>
      <c r="F183">
        <v>0</v>
      </c>
      <c r="G183" s="6">
        <v>0</v>
      </c>
      <c r="H183" s="7"/>
      <c r="I183" s="7"/>
      <c r="J183">
        <v>0</v>
      </c>
      <c r="K183" s="6">
        <v>0</v>
      </c>
      <c r="L183">
        <v>0</v>
      </c>
      <c r="M183" s="6">
        <v>0</v>
      </c>
      <c r="N183" s="6">
        <v>0</v>
      </c>
    </row>
    <row r="184" spans="1:14" outlineLevel="3" x14ac:dyDescent="0.35">
      <c r="A184" t="s">
        <v>95</v>
      </c>
      <c r="B184" t="s">
        <v>28</v>
      </c>
      <c r="C184" t="s">
        <v>72</v>
      </c>
      <c r="D184" t="s">
        <v>80</v>
      </c>
      <c r="E184">
        <v>48</v>
      </c>
      <c r="F184">
        <v>1</v>
      </c>
      <c r="G184" s="6">
        <v>2.08</v>
      </c>
      <c r="H184" s="7">
        <v>40</v>
      </c>
      <c r="I184" s="7">
        <v>40</v>
      </c>
      <c r="J184">
        <v>0</v>
      </c>
      <c r="K184" s="6">
        <v>0</v>
      </c>
      <c r="L184">
        <v>0</v>
      </c>
      <c r="M184" s="6">
        <v>0</v>
      </c>
      <c r="N184" s="6">
        <v>0</v>
      </c>
    </row>
    <row r="185" spans="1:14" outlineLevel="3" x14ac:dyDescent="0.35">
      <c r="A185" t="s">
        <v>95</v>
      </c>
      <c r="B185" t="s">
        <v>28</v>
      </c>
      <c r="C185" t="s">
        <v>72</v>
      </c>
      <c r="D185" t="s">
        <v>96</v>
      </c>
      <c r="E185">
        <v>23</v>
      </c>
      <c r="F185">
        <v>1</v>
      </c>
      <c r="G185" s="6">
        <v>4.3499999999999996</v>
      </c>
      <c r="H185" s="7">
        <v>11</v>
      </c>
      <c r="I185" s="7">
        <v>11</v>
      </c>
      <c r="J185">
        <v>0</v>
      </c>
      <c r="K185" s="6">
        <v>0</v>
      </c>
      <c r="L185">
        <v>0</v>
      </c>
      <c r="M185" s="6">
        <v>0</v>
      </c>
      <c r="N185" s="6">
        <v>0</v>
      </c>
    </row>
    <row r="186" spans="1:14" outlineLevel="3" x14ac:dyDescent="0.35">
      <c r="A186" t="s">
        <v>95</v>
      </c>
      <c r="B186" t="s">
        <v>28</v>
      </c>
      <c r="C186" t="s">
        <v>72</v>
      </c>
      <c r="D186" t="s">
        <v>90</v>
      </c>
      <c r="E186">
        <v>6</v>
      </c>
      <c r="F186">
        <v>0</v>
      </c>
      <c r="G186" s="6">
        <v>0</v>
      </c>
      <c r="H186" s="7"/>
      <c r="I186" s="7"/>
      <c r="J186">
        <v>0</v>
      </c>
      <c r="K186" s="6">
        <v>0</v>
      </c>
      <c r="L186">
        <v>0</v>
      </c>
      <c r="M186" s="6">
        <v>0</v>
      </c>
      <c r="N186" s="6">
        <v>0</v>
      </c>
    </row>
    <row r="187" spans="1:14" outlineLevel="2" collapsed="1" x14ac:dyDescent="0.35">
      <c r="A187" s="3" t="s">
        <v>30</v>
      </c>
      <c r="B187" s="3"/>
      <c r="C187" s="3"/>
      <c r="D187" s="3"/>
      <c r="E187" s="3"/>
      <c r="F187" s="3"/>
      <c r="G187" s="4"/>
      <c r="H187" s="5"/>
      <c r="I187" s="5"/>
      <c r="J187" s="3"/>
      <c r="K187" s="4"/>
      <c r="L187" s="3"/>
      <c r="M187" s="4"/>
      <c r="N187" s="4"/>
    </row>
    <row r="188" spans="1:14" outlineLevel="3" x14ac:dyDescent="0.35">
      <c r="A188" t="s">
        <v>95</v>
      </c>
      <c r="B188" t="s">
        <v>28</v>
      </c>
      <c r="C188" t="s">
        <v>31</v>
      </c>
      <c r="D188" t="s">
        <v>47</v>
      </c>
      <c r="E188">
        <v>2</v>
      </c>
      <c r="F188">
        <v>1</v>
      </c>
      <c r="G188" s="6">
        <v>50</v>
      </c>
      <c r="H188" s="7">
        <v>3</v>
      </c>
      <c r="I188" s="7">
        <v>3</v>
      </c>
      <c r="J188">
        <v>0</v>
      </c>
      <c r="K188" s="6">
        <v>0</v>
      </c>
      <c r="L188">
        <v>0</v>
      </c>
      <c r="M188" s="6">
        <v>0</v>
      </c>
      <c r="N188" s="6">
        <v>0</v>
      </c>
    </row>
    <row r="189" spans="1:14" outlineLevel="3" x14ac:dyDescent="0.35">
      <c r="A189" t="s">
        <v>95</v>
      </c>
      <c r="B189" t="s">
        <v>28</v>
      </c>
      <c r="C189" t="s">
        <v>31</v>
      </c>
      <c r="D189" t="s">
        <v>76</v>
      </c>
      <c r="E189">
        <v>124</v>
      </c>
      <c r="F189">
        <v>0</v>
      </c>
      <c r="G189" s="6">
        <v>0</v>
      </c>
      <c r="H189" s="7"/>
      <c r="I189" s="7"/>
      <c r="J189">
        <v>0</v>
      </c>
      <c r="K189" s="6">
        <v>0</v>
      </c>
      <c r="L189">
        <v>0</v>
      </c>
      <c r="M189" s="6">
        <v>0</v>
      </c>
      <c r="N189" s="6">
        <v>0</v>
      </c>
    </row>
    <row r="190" spans="1:14" outlineLevel="2" collapsed="1" x14ac:dyDescent="0.35">
      <c r="A190" s="3" t="s">
        <v>33</v>
      </c>
      <c r="B190" s="3"/>
      <c r="C190" s="3"/>
      <c r="D190" s="3"/>
      <c r="E190" s="3"/>
      <c r="F190" s="3"/>
      <c r="G190" s="4"/>
      <c r="H190" s="5"/>
      <c r="I190" s="5"/>
      <c r="J190" s="3"/>
      <c r="K190" s="4"/>
      <c r="L190" s="3"/>
      <c r="M190" s="4"/>
      <c r="N190" s="4"/>
    </row>
    <row r="191" spans="1:14" outlineLevel="3" x14ac:dyDescent="0.35">
      <c r="A191" t="s">
        <v>95</v>
      </c>
      <c r="B191" t="s">
        <v>28</v>
      </c>
      <c r="C191" t="s">
        <v>34</v>
      </c>
      <c r="D191" t="s">
        <v>77</v>
      </c>
      <c r="E191">
        <v>1</v>
      </c>
      <c r="F191">
        <v>0</v>
      </c>
      <c r="G191" s="6">
        <v>0</v>
      </c>
      <c r="H191" s="7">
        <v>78</v>
      </c>
      <c r="I191" s="7">
        <v>78</v>
      </c>
      <c r="J191">
        <v>0</v>
      </c>
      <c r="K191" s="6">
        <v>0</v>
      </c>
      <c r="L191">
        <v>0</v>
      </c>
      <c r="M191" s="6">
        <v>0</v>
      </c>
      <c r="N191" s="6">
        <v>0</v>
      </c>
    </row>
    <row r="192" spans="1:14" outlineLevel="3" x14ac:dyDescent="0.35">
      <c r="A192" t="s">
        <v>95</v>
      </c>
      <c r="B192" t="s">
        <v>28</v>
      </c>
      <c r="C192" t="s">
        <v>34</v>
      </c>
      <c r="D192" t="s">
        <v>85</v>
      </c>
      <c r="E192">
        <v>1</v>
      </c>
      <c r="F192">
        <v>0</v>
      </c>
      <c r="G192" s="6">
        <v>0</v>
      </c>
      <c r="H192" s="7"/>
      <c r="I192" s="7"/>
      <c r="J192">
        <v>0</v>
      </c>
      <c r="K192" s="6">
        <v>0</v>
      </c>
      <c r="L192">
        <v>0</v>
      </c>
      <c r="M192" s="6">
        <v>0</v>
      </c>
      <c r="N192" s="6">
        <v>0</v>
      </c>
    </row>
    <row r="193" spans="1:14" outlineLevel="3" x14ac:dyDescent="0.35">
      <c r="A193" t="s">
        <v>95</v>
      </c>
      <c r="B193" t="s">
        <v>28</v>
      </c>
      <c r="C193" t="s">
        <v>34</v>
      </c>
      <c r="D193" t="s">
        <v>60</v>
      </c>
      <c r="E193">
        <v>1</v>
      </c>
      <c r="F193">
        <v>0</v>
      </c>
      <c r="G193" s="6">
        <v>0</v>
      </c>
      <c r="H193" s="7"/>
      <c r="I193" s="7"/>
      <c r="J193">
        <v>0</v>
      </c>
      <c r="K193" s="6">
        <v>0</v>
      </c>
      <c r="L193">
        <v>0</v>
      </c>
      <c r="M193" s="6">
        <v>0</v>
      </c>
      <c r="N193" s="6">
        <v>0</v>
      </c>
    </row>
    <row r="194" spans="1:14" outlineLevel="3" x14ac:dyDescent="0.35">
      <c r="A194" t="s">
        <v>95</v>
      </c>
      <c r="B194" t="s">
        <v>28</v>
      </c>
      <c r="C194" t="s">
        <v>34</v>
      </c>
      <c r="D194" t="s">
        <v>35</v>
      </c>
      <c r="E194">
        <v>10</v>
      </c>
      <c r="F194">
        <v>2</v>
      </c>
      <c r="G194" s="6">
        <v>20</v>
      </c>
      <c r="H194" s="7">
        <v>0.5</v>
      </c>
      <c r="I194" s="7">
        <v>0.5</v>
      </c>
      <c r="J194">
        <v>0</v>
      </c>
      <c r="K194" s="6">
        <v>0</v>
      </c>
      <c r="L194">
        <v>0</v>
      </c>
      <c r="M194" s="6">
        <v>0</v>
      </c>
      <c r="N194" s="6">
        <v>0</v>
      </c>
    </row>
    <row r="195" spans="1:14" outlineLevel="3" x14ac:dyDescent="0.35">
      <c r="A195" t="s">
        <v>95</v>
      </c>
      <c r="B195" t="s">
        <v>28</v>
      </c>
      <c r="C195" t="s">
        <v>34</v>
      </c>
      <c r="D195" t="s">
        <v>49</v>
      </c>
      <c r="E195">
        <v>8</v>
      </c>
      <c r="F195">
        <v>1</v>
      </c>
      <c r="G195" s="6">
        <v>12.5</v>
      </c>
      <c r="H195" s="7">
        <v>3</v>
      </c>
      <c r="I195" s="7">
        <v>3</v>
      </c>
      <c r="J195">
        <v>0</v>
      </c>
      <c r="K195" s="6">
        <v>0</v>
      </c>
      <c r="L195">
        <v>0</v>
      </c>
      <c r="M195" s="6">
        <v>0</v>
      </c>
      <c r="N195" s="6">
        <v>0</v>
      </c>
    </row>
    <row r="196" spans="1:14" outlineLevel="2" collapsed="1" x14ac:dyDescent="0.35">
      <c r="A196" s="3" t="s">
        <v>36</v>
      </c>
      <c r="B196" s="3"/>
      <c r="C196" s="3"/>
      <c r="D196" s="3"/>
      <c r="E196" s="3"/>
      <c r="F196" s="3"/>
      <c r="G196" s="4"/>
      <c r="H196" s="5"/>
      <c r="I196" s="5"/>
      <c r="J196" s="3"/>
      <c r="K196" s="4"/>
      <c r="L196" s="3"/>
      <c r="M196" s="4"/>
      <c r="N196" s="4"/>
    </row>
    <row r="197" spans="1:14" outlineLevel="3" x14ac:dyDescent="0.35">
      <c r="A197" t="s">
        <v>95</v>
      </c>
      <c r="B197" t="s">
        <v>28</v>
      </c>
      <c r="C197" t="s">
        <v>37</v>
      </c>
      <c r="D197" t="s">
        <v>37</v>
      </c>
      <c r="E197">
        <v>1</v>
      </c>
      <c r="F197">
        <v>0</v>
      </c>
      <c r="G197" s="6">
        <v>0</v>
      </c>
      <c r="H197" s="7"/>
      <c r="I197" s="7"/>
      <c r="J197">
        <v>0</v>
      </c>
      <c r="K197" s="6">
        <v>0</v>
      </c>
      <c r="L197">
        <v>0</v>
      </c>
      <c r="M197" s="6">
        <v>0</v>
      </c>
      <c r="N197" s="6">
        <v>0</v>
      </c>
    </row>
    <row r="198" spans="1:14" outlineLevel="2" collapsed="1" x14ac:dyDescent="0.35">
      <c r="A198" s="3" t="s">
        <v>38</v>
      </c>
      <c r="B198" s="3"/>
      <c r="C198" s="3"/>
      <c r="D198" s="3"/>
      <c r="E198" s="3"/>
      <c r="F198" s="3"/>
      <c r="G198" s="4"/>
      <c r="H198" s="5"/>
      <c r="I198" s="5"/>
      <c r="J198" s="3"/>
      <c r="K198" s="4"/>
      <c r="L198" s="3"/>
      <c r="M198" s="4"/>
      <c r="N198" s="4"/>
    </row>
    <row r="199" spans="1:14" outlineLevel="3" x14ac:dyDescent="0.35">
      <c r="A199" t="s">
        <v>95</v>
      </c>
      <c r="B199" t="s">
        <v>39</v>
      </c>
      <c r="C199" t="s">
        <v>40</v>
      </c>
      <c r="D199" t="s">
        <v>40</v>
      </c>
      <c r="E199">
        <v>19</v>
      </c>
      <c r="F199">
        <v>3</v>
      </c>
      <c r="G199" s="6">
        <v>15.79</v>
      </c>
      <c r="H199" s="7">
        <v>5</v>
      </c>
      <c r="I199" s="7">
        <v>8.14</v>
      </c>
      <c r="J199">
        <v>0</v>
      </c>
      <c r="K199" s="6">
        <v>0</v>
      </c>
      <c r="L199">
        <v>0</v>
      </c>
      <c r="M199" s="6">
        <v>0</v>
      </c>
      <c r="N199" s="6">
        <v>0</v>
      </c>
    </row>
    <row r="200" spans="1:14" outlineLevel="1" collapsed="1" x14ac:dyDescent="0.35">
      <c r="A200" s="3" t="s">
        <v>97</v>
      </c>
      <c r="B200" s="3"/>
      <c r="C200" s="3"/>
      <c r="D200" s="3"/>
      <c r="E200" s="3"/>
      <c r="F200" s="3"/>
      <c r="G200" s="4"/>
      <c r="H200" s="5"/>
      <c r="I200" s="5"/>
      <c r="J200" s="3"/>
      <c r="K200" s="4"/>
      <c r="L200" s="3"/>
      <c r="M200" s="4"/>
      <c r="N200" s="4"/>
    </row>
    <row r="201" spans="1:14" outlineLevel="2" collapsed="1" x14ac:dyDescent="0.35">
      <c r="A201" s="3" t="s">
        <v>71</v>
      </c>
      <c r="B201" s="3"/>
      <c r="C201" s="3"/>
      <c r="D201" s="3"/>
      <c r="E201" s="3"/>
      <c r="F201" s="3"/>
      <c r="G201" s="4"/>
      <c r="H201" s="5"/>
      <c r="I201" s="5"/>
      <c r="J201" s="3"/>
      <c r="K201" s="4"/>
      <c r="L201" s="3"/>
      <c r="M201" s="4"/>
      <c r="N201" s="4"/>
    </row>
    <row r="202" spans="1:14" outlineLevel="3" x14ac:dyDescent="0.35">
      <c r="A202" t="s">
        <v>98</v>
      </c>
      <c r="B202" t="s">
        <v>28</v>
      </c>
      <c r="C202" t="s">
        <v>72</v>
      </c>
      <c r="D202" t="s">
        <v>80</v>
      </c>
      <c r="E202">
        <v>64</v>
      </c>
      <c r="F202">
        <v>0</v>
      </c>
      <c r="G202" s="6">
        <v>0</v>
      </c>
      <c r="H202" s="7"/>
      <c r="I202" s="7"/>
      <c r="J202">
        <v>0</v>
      </c>
      <c r="K202" s="6">
        <v>0</v>
      </c>
      <c r="L202">
        <v>0</v>
      </c>
      <c r="M202" s="6">
        <v>0</v>
      </c>
      <c r="N202" s="6">
        <v>0</v>
      </c>
    </row>
    <row r="203" spans="1:14" outlineLevel="3" x14ac:dyDescent="0.35">
      <c r="A203" t="s">
        <v>98</v>
      </c>
      <c r="B203" t="s">
        <v>28</v>
      </c>
      <c r="C203" t="s">
        <v>72</v>
      </c>
      <c r="D203" t="s">
        <v>96</v>
      </c>
      <c r="E203">
        <v>15</v>
      </c>
      <c r="F203">
        <v>0</v>
      </c>
      <c r="G203" s="6">
        <v>0</v>
      </c>
      <c r="H203" s="7"/>
      <c r="I203" s="7"/>
      <c r="J203">
        <v>0</v>
      </c>
      <c r="K203" s="6">
        <v>0</v>
      </c>
      <c r="L203">
        <v>0</v>
      </c>
      <c r="M203" s="6">
        <v>0</v>
      </c>
      <c r="N203" s="6">
        <v>0</v>
      </c>
    </row>
    <row r="204" spans="1:14" outlineLevel="3" x14ac:dyDescent="0.35">
      <c r="A204" t="s">
        <v>98</v>
      </c>
      <c r="B204" t="s">
        <v>28</v>
      </c>
      <c r="C204" t="s">
        <v>72</v>
      </c>
      <c r="D204" t="s">
        <v>90</v>
      </c>
      <c r="E204">
        <v>9</v>
      </c>
      <c r="F204">
        <v>2</v>
      </c>
      <c r="G204" s="6">
        <v>22.22</v>
      </c>
      <c r="H204" s="7">
        <v>4.5</v>
      </c>
      <c r="I204" s="7">
        <v>4.5</v>
      </c>
      <c r="J204">
        <v>0</v>
      </c>
      <c r="K204" s="6">
        <v>0</v>
      </c>
      <c r="L204">
        <v>0</v>
      </c>
      <c r="M204" s="6">
        <v>0</v>
      </c>
      <c r="N204" s="6">
        <v>0</v>
      </c>
    </row>
    <row r="205" spans="1:14" outlineLevel="2" collapsed="1" x14ac:dyDescent="0.35">
      <c r="A205" s="3" t="s">
        <v>99</v>
      </c>
      <c r="B205" s="3"/>
      <c r="C205" s="3"/>
      <c r="D205" s="3"/>
      <c r="E205" s="3"/>
      <c r="F205" s="3"/>
      <c r="G205" s="4"/>
      <c r="H205" s="5"/>
      <c r="I205" s="5"/>
      <c r="J205" s="3"/>
      <c r="K205" s="4"/>
      <c r="L205" s="3"/>
      <c r="M205" s="4"/>
      <c r="N205" s="4"/>
    </row>
    <row r="206" spans="1:14" outlineLevel="3" x14ac:dyDescent="0.35">
      <c r="A206" t="s">
        <v>98</v>
      </c>
      <c r="B206" t="s">
        <v>28</v>
      </c>
      <c r="C206" t="s">
        <v>100</v>
      </c>
      <c r="D206" t="s">
        <v>101</v>
      </c>
      <c r="E206">
        <v>1</v>
      </c>
      <c r="F206">
        <v>1</v>
      </c>
      <c r="G206" s="6">
        <v>100</v>
      </c>
      <c r="H206" s="7">
        <v>8</v>
      </c>
      <c r="I206" s="7">
        <v>8</v>
      </c>
      <c r="J206">
        <v>0</v>
      </c>
      <c r="K206" s="6">
        <v>0</v>
      </c>
      <c r="L206">
        <v>0</v>
      </c>
      <c r="M206" s="6">
        <v>0</v>
      </c>
      <c r="N206" s="6">
        <v>0</v>
      </c>
    </row>
    <row r="207" spans="1:14" outlineLevel="2" collapsed="1" x14ac:dyDescent="0.35">
      <c r="A207" s="3" t="s">
        <v>30</v>
      </c>
      <c r="B207" s="3"/>
      <c r="C207" s="3"/>
      <c r="D207" s="3"/>
      <c r="E207" s="3"/>
      <c r="F207" s="3"/>
      <c r="G207" s="4"/>
      <c r="H207" s="5"/>
      <c r="I207" s="5"/>
      <c r="J207" s="3"/>
      <c r="K207" s="4"/>
      <c r="L207" s="3"/>
      <c r="M207" s="4"/>
      <c r="N207" s="4"/>
    </row>
    <row r="208" spans="1:14" outlineLevel="3" x14ac:dyDescent="0.35">
      <c r="A208" t="s">
        <v>98</v>
      </c>
      <c r="B208" t="s">
        <v>28</v>
      </c>
      <c r="C208" t="s">
        <v>31</v>
      </c>
      <c r="D208" t="s">
        <v>76</v>
      </c>
      <c r="E208">
        <v>541</v>
      </c>
      <c r="F208">
        <v>0</v>
      </c>
      <c r="G208" s="6">
        <v>0</v>
      </c>
      <c r="H208" s="7"/>
      <c r="I208" s="7"/>
      <c r="J208">
        <v>0</v>
      </c>
      <c r="K208" s="6">
        <v>0</v>
      </c>
      <c r="L208">
        <v>0</v>
      </c>
      <c r="M208" s="6">
        <v>0</v>
      </c>
      <c r="N208" s="6">
        <v>0</v>
      </c>
    </row>
    <row r="209" spans="1:14" outlineLevel="2" collapsed="1" x14ac:dyDescent="0.35">
      <c r="A209" s="3" t="s">
        <v>33</v>
      </c>
      <c r="B209" s="3"/>
      <c r="C209" s="3"/>
      <c r="D209" s="3"/>
      <c r="E209" s="3"/>
      <c r="F209" s="3"/>
      <c r="G209" s="4"/>
      <c r="H209" s="5"/>
      <c r="I209" s="5"/>
      <c r="J209" s="3"/>
      <c r="K209" s="4"/>
      <c r="L209" s="3"/>
      <c r="M209" s="4"/>
      <c r="N209" s="4"/>
    </row>
    <row r="210" spans="1:14" outlineLevel="3" x14ac:dyDescent="0.35">
      <c r="A210" t="s">
        <v>98</v>
      </c>
      <c r="B210" t="s">
        <v>28</v>
      </c>
      <c r="C210" t="s">
        <v>34</v>
      </c>
      <c r="D210" t="s">
        <v>102</v>
      </c>
      <c r="E210">
        <v>6</v>
      </c>
      <c r="F210">
        <v>0</v>
      </c>
      <c r="G210" s="6">
        <v>0</v>
      </c>
      <c r="H210" s="7"/>
      <c r="I210" s="7"/>
      <c r="J210">
        <v>0</v>
      </c>
      <c r="K210" s="6">
        <v>0</v>
      </c>
      <c r="L210">
        <v>0</v>
      </c>
      <c r="M210" s="6">
        <v>0</v>
      </c>
      <c r="N210" s="6">
        <v>0</v>
      </c>
    </row>
    <row r="211" spans="1:14" outlineLevel="3" x14ac:dyDescent="0.35">
      <c r="A211" t="s">
        <v>98</v>
      </c>
      <c r="B211" t="s">
        <v>28</v>
      </c>
      <c r="C211" t="s">
        <v>34</v>
      </c>
      <c r="D211" t="s">
        <v>85</v>
      </c>
      <c r="E211">
        <v>2</v>
      </c>
      <c r="F211">
        <v>0</v>
      </c>
      <c r="G211" s="6">
        <v>0</v>
      </c>
      <c r="H211" s="7"/>
      <c r="I211" s="7"/>
      <c r="J211">
        <v>0</v>
      </c>
      <c r="K211" s="6">
        <v>0</v>
      </c>
      <c r="L211">
        <v>0</v>
      </c>
      <c r="M211" s="6">
        <v>0</v>
      </c>
      <c r="N211" s="6">
        <v>0</v>
      </c>
    </row>
    <row r="212" spans="1:14" outlineLevel="3" x14ac:dyDescent="0.35">
      <c r="A212" t="s">
        <v>98</v>
      </c>
      <c r="B212" t="s">
        <v>28</v>
      </c>
      <c r="C212" t="s">
        <v>34</v>
      </c>
      <c r="D212" t="s">
        <v>60</v>
      </c>
      <c r="E212">
        <v>2</v>
      </c>
      <c r="F212">
        <v>0</v>
      </c>
      <c r="G212" s="6">
        <v>0</v>
      </c>
      <c r="H212" s="7"/>
      <c r="I212" s="7"/>
      <c r="J212">
        <v>0</v>
      </c>
      <c r="K212" s="6">
        <v>0</v>
      </c>
      <c r="L212">
        <v>0</v>
      </c>
      <c r="M212" s="6">
        <v>0</v>
      </c>
      <c r="N212" s="6">
        <v>0</v>
      </c>
    </row>
    <row r="213" spans="1:14" outlineLevel="3" x14ac:dyDescent="0.35">
      <c r="A213" t="s">
        <v>98</v>
      </c>
      <c r="B213" t="s">
        <v>28</v>
      </c>
      <c r="C213" t="s">
        <v>34</v>
      </c>
      <c r="D213" t="s">
        <v>35</v>
      </c>
      <c r="E213">
        <v>8</v>
      </c>
      <c r="F213">
        <v>0</v>
      </c>
      <c r="G213" s="6">
        <v>0</v>
      </c>
      <c r="H213" s="7"/>
      <c r="I213" s="7"/>
      <c r="J213">
        <v>0</v>
      </c>
      <c r="K213" s="6">
        <v>0</v>
      </c>
      <c r="L213">
        <v>0</v>
      </c>
      <c r="M213" s="6">
        <v>0</v>
      </c>
      <c r="N213" s="6">
        <v>0</v>
      </c>
    </row>
    <row r="214" spans="1:14" outlineLevel="3" x14ac:dyDescent="0.35">
      <c r="A214" t="s">
        <v>98</v>
      </c>
      <c r="B214" t="s">
        <v>28</v>
      </c>
      <c r="C214" t="s">
        <v>34</v>
      </c>
      <c r="D214" t="s">
        <v>34</v>
      </c>
      <c r="E214">
        <v>1</v>
      </c>
      <c r="F214">
        <v>0</v>
      </c>
      <c r="G214" s="6">
        <v>0</v>
      </c>
      <c r="H214" s="7">
        <v>2</v>
      </c>
      <c r="I214" s="7">
        <v>2</v>
      </c>
      <c r="J214">
        <v>0</v>
      </c>
      <c r="K214" s="6">
        <v>0</v>
      </c>
      <c r="L214">
        <v>0</v>
      </c>
      <c r="M214" s="6">
        <v>0</v>
      </c>
      <c r="N214" s="6">
        <v>0</v>
      </c>
    </row>
    <row r="215" spans="1:14" outlineLevel="3" x14ac:dyDescent="0.35">
      <c r="A215" t="s">
        <v>98</v>
      </c>
      <c r="B215" t="s">
        <v>28</v>
      </c>
      <c r="C215" t="s">
        <v>34</v>
      </c>
      <c r="D215" t="s">
        <v>49</v>
      </c>
      <c r="E215">
        <v>10</v>
      </c>
      <c r="F215">
        <v>0</v>
      </c>
      <c r="G215" s="6">
        <v>0</v>
      </c>
      <c r="H215" s="7"/>
      <c r="I215" s="7"/>
      <c r="J215">
        <v>0</v>
      </c>
      <c r="K215" s="6">
        <v>0</v>
      </c>
      <c r="L215">
        <v>0</v>
      </c>
      <c r="M215" s="6">
        <v>0</v>
      </c>
      <c r="N215" s="6">
        <v>0</v>
      </c>
    </row>
    <row r="216" spans="1:14" outlineLevel="2" collapsed="1" x14ac:dyDescent="0.35">
      <c r="A216" s="3" t="s">
        <v>36</v>
      </c>
      <c r="B216" s="3"/>
      <c r="C216" s="3"/>
      <c r="D216" s="3"/>
      <c r="E216" s="3"/>
      <c r="F216" s="3"/>
      <c r="G216" s="4"/>
      <c r="H216" s="5"/>
      <c r="I216" s="5"/>
      <c r="J216" s="3"/>
      <c r="K216" s="4"/>
      <c r="L216" s="3"/>
      <c r="M216" s="4"/>
      <c r="N216" s="4"/>
    </row>
    <row r="217" spans="1:14" outlineLevel="3" x14ac:dyDescent="0.35">
      <c r="A217" t="s">
        <v>98</v>
      </c>
      <c r="B217" t="s">
        <v>28</v>
      </c>
      <c r="C217" t="s">
        <v>37</v>
      </c>
      <c r="D217" t="s">
        <v>37</v>
      </c>
      <c r="E217">
        <v>1</v>
      </c>
      <c r="F217">
        <v>0</v>
      </c>
      <c r="G217" s="6">
        <v>0</v>
      </c>
      <c r="H217" s="7">
        <v>1</v>
      </c>
      <c r="I217" s="7">
        <v>1</v>
      </c>
      <c r="J217">
        <v>0</v>
      </c>
      <c r="K217" s="6">
        <v>0</v>
      </c>
      <c r="L217">
        <v>0</v>
      </c>
      <c r="M217" s="6">
        <v>0</v>
      </c>
      <c r="N217" s="6">
        <v>0</v>
      </c>
    </row>
    <row r="218" spans="1:14" outlineLevel="2" collapsed="1" x14ac:dyDescent="0.35">
      <c r="A218" s="3" t="s">
        <v>38</v>
      </c>
      <c r="B218" s="3"/>
      <c r="C218" s="3"/>
      <c r="D218" s="3"/>
      <c r="E218" s="3"/>
      <c r="F218" s="3"/>
      <c r="G218" s="4"/>
      <c r="H218" s="5"/>
      <c r="I218" s="5"/>
      <c r="J218" s="3"/>
      <c r="K218" s="4"/>
      <c r="L218" s="3"/>
      <c r="M218" s="4"/>
      <c r="N218" s="4"/>
    </row>
    <row r="219" spans="1:14" outlineLevel="3" x14ac:dyDescent="0.35">
      <c r="A219" t="s">
        <v>98</v>
      </c>
      <c r="B219" t="s">
        <v>39</v>
      </c>
      <c r="C219" t="s">
        <v>40</v>
      </c>
      <c r="D219" t="s">
        <v>40</v>
      </c>
      <c r="E219">
        <v>16</v>
      </c>
      <c r="F219">
        <v>4</v>
      </c>
      <c r="G219" s="6">
        <v>25</v>
      </c>
      <c r="H219" s="7">
        <v>7</v>
      </c>
      <c r="I219" s="7">
        <v>22.71</v>
      </c>
      <c r="J219">
        <v>0</v>
      </c>
      <c r="K219" s="6">
        <v>0</v>
      </c>
      <c r="L219">
        <v>0</v>
      </c>
      <c r="M219" s="6">
        <v>0</v>
      </c>
      <c r="N219" s="6">
        <v>0</v>
      </c>
    </row>
    <row r="220" spans="1:14" outlineLevel="2" collapsed="1" x14ac:dyDescent="0.35">
      <c r="A220" s="3" t="s">
        <v>43</v>
      </c>
      <c r="B220" s="3"/>
      <c r="C220" s="3"/>
      <c r="D220" s="3"/>
      <c r="E220" s="3"/>
      <c r="F220" s="3"/>
      <c r="G220" s="4"/>
      <c r="H220" s="5"/>
      <c r="I220" s="5"/>
      <c r="J220" s="3"/>
      <c r="K220" s="4"/>
      <c r="L220" s="3"/>
      <c r="M220" s="4"/>
      <c r="N220" s="4"/>
    </row>
    <row r="221" spans="1:14" outlineLevel="3" x14ac:dyDescent="0.35">
      <c r="A221" t="s">
        <v>98</v>
      </c>
      <c r="B221" t="s">
        <v>39</v>
      </c>
      <c r="C221" t="s">
        <v>44</v>
      </c>
      <c r="D221" t="s">
        <v>44</v>
      </c>
      <c r="E221">
        <v>1</v>
      </c>
      <c r="F221">
        <v>0</v>
      </c>
      <c r="G221" s="6">
        <v>0</v>
      </c>
      <c r="H221" s="7"/>
      <c r="I221" s="7"/>
      <c r="J221">
        <v>0</v>
      </c>
      <c r="K221" s="6">
        <v>0</v>
      </c>
      <c r="L221">
        <v>0</v>
      </c>
      <c r="M221" s="6">
        <v>0</v>
      </c>
      <c r="N221" s="6">
        <v>0</v>
      </c>
    </row>
    <row r="222" spans="1:14" outlineLevel="1" collapsed="1" x14ac:dyDescent="0.35">
      <c r="A222" s="3" t="s">
        <v>103</v>
      </c>
      <c r="B222" s="3"/>
      <c r="C222" s="3"/>
      <c r="D222" s="3"/>
      <c r="E222" s="3"/>
      <c r="F222" s="3"/>
      <c r="G222" s="4"/>
      <c r="H222" s="5"/>
      <c r="I222" s="5"/>
      <c r="J222" s="3"/>
      <c r="K222" s="4"/>
      <c r="L222" s="3"/>
      <c r="M222" s="4"/>
      <c r="N222" s="4"/>
    </row>
    <row r="223" spans="1:14" outlineLevel="2" collapsed="1" x14ac:dyDescent="0.35">
      <c r="A223" s="3" t="s">
        <v>71</v>
      </c>
      <c r="B223" s="3"/>
      <c r="C223" s="3"/>
      <c r="D223" s="3"/>
      <c r="E223" s="3"/>
      <c r="F223" s="3"/>
      <c r="G223" s="4"/>
      <c r="H223" s="5"/>
      <c r="I223" s="5"/>
      <c r="J223" s="3"/>
      <c r="K223" s="4"/>
      <c r="L223" s="3"/>
      <c r="M223" s="4"/>
      <c r="N223" s="4"/>
    </row>
    <row r="224" spans="1:14" outlineLevel="3" x14ac:dyDescent="0.35">
      <c r="A224" t="s">
        <v>104</v>
      </c>
      <c r="B224" t="s">
        <v>28</v>
      </c>
      <c r="C224" t="s">
        <v>72</v>
      </c>
      <c r="D224" t="s">
        <v>80</v>
      </c>
      <c r="E224">
        <v>74</v>
      </c>
      <c r="F224">
        <v>1</v>
      </c>
      <c r="G224" s="6">
        <v>1.35</v>
      </c>
      <c r="H224" s="7">
        <v>4</v>
      </c>
      <c r="I224" s="7">
        <v>4</v>
      </c>
      <c r="J224">
        <v>0</v>
      </c>
      <c r="K224" s="6">
        <v>0</v>
      </c>
      <c r="L224">
        <v>0</v>
      </c>
      <c r="M224" s="6">
        <v>0</v>
      </c>
      <c r="N224" s="6">
        <v>0</v>
      </c>
    </row>
    <row r="225" spans="1:14" outlineLevel="3" x14ac:dyDescent="0.35">
      <c r="A225" t="s">
        <v>104</v>
      </c>
      <c r="B225" t="s">
        <v>28</v>
      </c>
      <c r="C225" t="s">
        <v>72</v>
      </c>
      <c r="D225" t="s">
        <v>96</v>
      </c>
      <c r="E225">
        <v>14</v>
      </c>
      <c r="F225">
        <v>0</v>
      </c>
      <c r="G225" s="6">
        <v>0</v>
      </c>
      <c r="H225" s="7">
        <v>19</v>
      </c>
      <c r="I225" s="7">
        <v>19</v>
      </c>
      <c r="J225">
        <v>0</v>
      </c>
      <c r="K225" s="6">
        <v>0</v>
      </c>
      <c r="L225">
        <v>0</v>
      </c>
      <c r="M225" s="6">
        <v>0</v>
      </c>
      <c r="N225" s="6">
        <v>0</v>
      </c>
    </row>
    <row r="226" spans="1:14" outlineLevel="3" x14ac:dyDescent="0.35">
      <c r="A226" t="s">
        <v>104</v>
      </c>
      <c r="B226" t="s">
        <v>28</v>
      </c>
      <c r="C226" t="s">
        <v>72</v>
      </c>
      <c r="D226" t="s">
        <v>105</v>
      </c>
      <c r="E226">
        <v>14</v>
      </c>
      <c r="F226">
        <v>0</v>
      </c>
      <c r="G226" s="6">
        <v>0</v>
      </c>
      <c r="H226" s="7"/>
      <c r="I226" s="7"/>
      <c r="J226">
        <v>0</v>
      </c>
      <c r="K226" s="6">
        <v>0</v>
      </c>
      <c r="L226">
        <v>0</v>
      </c>
      <c r="M226" s="6">
        <v>0</v>
      </c>
      <c r="N226" s="6">
        <v>0</v>
      </c>
    </row>
    <row r="227" spans="1:14" outlineLevel="3" x14ac:dyDescent="0.35">
      <c r="A227" t="s">
        <v>104</v>
      </c>
      <c r="B227" t="s">
        <v>28</v>
      </c>
      <c r="C227" t="s">
        <v>72</v>
      </c>
      <c r="D227" t="s">
        <v>90</v>
      </c>
      <c r="E227">
        <v>7</v>
      </c>
      <c r="F227">
        <v>0</v>
      </c>
      <c r="G227" s="6">
        <v>0</v>
      </c>
      <c r="H227" s="7"/>
      <c r="I227" s="7"/>
      <c r="J227">
        <v>0</v>
      </c>
      <c r="K227" s="6">
        <v>0</v>
      </c>
      <c r="L227">
        <v>0</v>
      </c>
      <c r="M227" s="6">
        <v>0</v>
      </c>
      <c r="N227" s="6">
        <v>0</v>
      </c>
    </row>
    <row r="228" spans="1:14" outlineLevel="2" collapsed="1" x14ac:dyDescent="0.35">
      <c r="A228" s="3" t="s">
        <v>30</v>
      </c>
      <c r="B228" s="3"/>
      <c r="C228" s="3"/>
      <c r="D228" s="3"/>
      <c r="E228" s="3"/>
      <c r="F228" s="3"/>
      <c r="G228" s="4"/>
      <c r="H228" s="5"/>
      <c r="I228" s="5"/>
      <c r="J228" s="3"/>
      <c r="K228" s="4"/>
      <c r="L228" s="3"/>
      <c r="M228" s="4"/>
      <c r="N228" s="4"/>
    </row>
    <row r="229" spans="1:14" outlineLevel="3" x14ac:dyDescent="0.35">
      <c r="A229" t="s">
        <v>104</v>
      </c>
      <c r="B229" t="s">
        <v>28</v>
      </c>
      <c r="C229" t="s">
        <v>31</v>
      </c>
      <c r="D229" t="s">
        <v>76</v>
      </c>
      <c r="E229">
        <v>1</v>
      </c>
      <c r="F229">
        <v>0</v>
      </c>
      <c r="G229" s="6">
        <v>0</v>
      </c>
      <c r="H229" s="7"/>
      <c r="I229" s="7"/>
      <c r="J229">
        <v>0</v>
      </c>
      <c r="K229" s="6">
        <v>0</v>
      </c>
      <c r="L229">
        <v>0</v>
      </c>
      <c r="M229" s="6">
        <v>0</v>
      </c>
      <c r="N229" s="6">
        <v>0</v>
      </c>
    </row>
    <row r="230" spans="1:14" outlineLevel="2" collapsed="1" x14ac:dyDescent="0.35">
      <c r="A230" s="3" t="s">
        <v>33</v>
      </c>
      <c r="B230" s="3"/>
      <c r="C230" s="3"/>
      <c r="D230" s="3"/>
      <c r="E230" s="3"/>
      <c r="F230" s="3"/>
      <c r="G230" s="4"/>
      <c r="H230" s="5"/>
      <c r="I230" s="5"/>
      <c r="J230" s="3"/>
      <c r="K230" s="4"/>
      <c r="L230" s="3"/>
      <c r="M230" s="4"/>
      <c r="N230" s="4"/>
    </row>
    <row r="231" spans="1:14" outlineLevel="3" x14ac:dyDescent="0.35">
      <c r="A231" t="s">
        <v>104</v>
      </c>
      <c r="B231" t="s">
        <v>28</v>
      </c>
      <c r="C231" t="s">
        <v>34</v>
      </c>
      <c r="D231" t="s">
        <v>77</v>
      </c>
      <c r="E231">
        <v>11</v>
      </c>
      <c r="F231">
        <v>1</v>
      </c>
      <c r="G231" s="6">
        <v>9.09</v>
      </c>
      <c r="H231" s="7">
        <v>14</v>
      </c>
      <c r="I231" s="7">
        <v>14</v>
      </c>
      <c r="J231">
        <v>0</v>
      </c>
      <c r="K231" s="6">
        <v>0</v>
      </c>
      <c r="L231">
        <v>0</v>
      </c>
      <c r="M231" s="6">
        <v>0</v>
      </c>
      <c r="N231" s="6">
        <v>0</v>
      </c>
    </row>
    <row r="232" spans="1:14" outlineLevel="3" x14ac:dyDescent="0.35">
      <c r="A232" t="s">
        <v>104</v>
      </c>
      <c r="B232" t="s">
        <v>28</v>
      </c>
      <c r="C232" t="s">
        <v>34</v>
      </c>
      <c r="D232" t="s">
        <v>85</v>
      </c>
      <c r="E232">
        <v>4</v>
      </c>
      <c r="F232">
        <v>0</v>
      </c>
      <c r="G232" s="6">
        <v>0</v>
      </c>
      <c r="H232" s="7">
        <v>3</v>
      </c>
      <c r="I232" s="7">
        <v>3</v>
      </c>
      <c r="J232">
        <v>0</v>
      </c>
      <c r="K232" s="6">
        <v>0</v>
      </c>
      <c r="L232">
        <v>0</v>
      </c>
      <c r="M232" s="6">
        <v>0</v>
      </c>
      <c r="N232" s="6">
        <v>0</v>
      </c>
    </row>
    <row r="233" spans="1:14" outlineLevel="3" x14ac:dyDescent="0.35">
      <c r="A233" t="s">
        <v>104</v>
      </c>
      <c r="B233" t="s">
        <v>28</v>
      </c>
      <c r="C233" t="s">
        <v>34</v>
      </c>
      <c r="D233" t="s">
        <v>35</v>
      </c>
      <c r="E233">
        <v>3</v>
      </c>
      <c r="F233">
        <v>0</v>
      </c>
      <c r="G233" s="6">
        <v>0</v>
      </c>
      <c r="H233" s="7"/>
      <c r="I233" s="7"/>
      <c r="J233">
        <v>0</v>
      </c>
      <c r="K233" s="6">
        <v>0</v>
      </c>
      <c r="L233">
        <v>0</v>
      </c>
      <c r="M233" s="6">
        <v>0</v>
      </c>
      <c r="N233" s="6">
        <v>0</v>
      </c>
    </row>
    <row r="234" spans="1:14" outlineLevel="3" x14ac:dyDescent="0.35">
      <c r="A234" t="s">
        <v>104</v>
      </c>
      <c r="B234" t="s">
        <v>28</v>
      </c>
      <c r="C234" t="s">
        <v>34</v>
      </c>
      <c r="D234" t="s">
        <v>106</v>
      </c>
      <c r="E234">
        <v>1</v>
      </c>
      <c r="F234">
        <v>0</v>
      </c>
      <c r="G234" s="6">
        <v>0</v>
      </c>
      <c r="H234" s="7"/>
      <c r="I234" s="7"/>
      <c r="J234">
        <v>0</v>
      </c>
      <c r="K234" s="6">
        <v>0</v>
      </c>
      <c r="L234">
        <v>0</v>
      </c>
      <c r="M234" s="6">
        <v>0</v>
      </c>
      <c r="N234" s="6">
        <v>0</v>
      </c>
    </row>
    <row r="235" spans="1:14" outlineLevel="3" x14ac:dyDescent="0.35">
      <c r="A235" t="s">
        <v>104</v>
      </c>
      <c r="B235" t="s">
        <v>28</v>
      </c>
      <c r="C235" t="s">
        <v>34</v>
      </c>
      <c r="D235" t="s">
        <v>34</v>
      </c>
      <c r="E235">
        <v>2</v>
      </c>
      <c r="F235">
        <v>1</v>
      </c>
      <c r="G235" s="6">
        <v>50</v>
      </c>
      <c r="H235" s="7">
        <v>0</v>
      </c>
      <c r="I235" s="7">
        <v>0</v>
      </c>
      <c r="J235">
        <v>0</v>
      </c>
      <c r="K235" s="6">
        <v>0</v>
      </c>
      <c r="L235">
        <v>0</v>
      </c>
      <c r="M235" s="6">
        <v>0</v>
      </c>
      <c r="N235" s="6">
        <v>0</v>
      </c>
    </row>
    <row r="236" spans="1:14" outlineLevel="3" x14ac:dyDescent="0.35">
      <c r="A236" t="s">
        <v>104</v>
      </c>
      <c r="B236" t="s">
        <v>28</v>
      </c>
      <c r="C236" t="s">
        <v>34</v>
      </c>
      <c r="D236" t="s">
        <v>49</v>
      </c>
      <c r="E236">
        <v>11</v>
      </c>
      <c r="F236">
        <v>0</v>
      </c>
      <c r="G236" s="6">
        <v>0</v>
      </c>
      <c r="H236" s="7"/>
      <c r="I236" s="7"/>
      <c r="J236">
        <v>1</v>
      </c>
      <c r="K236" s="6">
        <v>9.09</v>
      </c>
      <c r="L236">
        <v>1</v>
      </c>
      <c r="M236" s="6">
        <v>9.09</v>
      </c>
      <c r="N236" s="6">
        <v>100</v>
      </c>
    </row>
    <row r="237" spans="1:14" outlineLevel="2" collapsed="1" x14ac:dyDescent="0.35">
      <c r="A237" s="3" t="s">
        <v>107</v>
      </c>
      <c r="B237" s="3"/>
      <c r="C237" s="3"/>
      <c r="D237" s="3"/>
      <c r="E237" s="3"/>
      <c r="F237" s="3"/>
      <c r="G237" s="4"/>
      <c r="H237" s="5"/>
      <c r="I237" s="5"/>
      <c r="J237" s="3"/>
      <c r="K237" s="4"/>
      <c r="L237" s="3"/>
      <c r="M237" s="4"/>
      <c r="N237" s="4"/>
    </row>
    <row r="238" spans="1:14" outlineLevel="3" x14ac:dyDescent="0.35">
      <c r="A238" t="s">
        <v>104</v>
      </c>
      <c r="B238" t="s">
        <v>28</v>
      </c>
      <c r="C238" t="s">
        <v>44</v>
      </c>
      <c r="D238" t="s">
        <v>44</v>
      </c>
      <c r="E238">
        <v>5</v>
      </c>
      <c r="F238">
        <v>0</v>
      </c>
      <c r="G238" s="6">
        <v>0</v>
      </c>
      <c r="H238" s="7"/>
      <c r="I238" s="7"/>
      <c r="J238">
        <v>0</v>
      </c>
      <c r="K238" s="6">
        <v>0</v>
      </c>
      <c r="L238">
        <v>0</v>
      </c>
      <c r="M238" s="6">
        <v>0</v>
      </c>
      <c r="N238" s="6">
        <v>0</v>
      </c>
    </row>
    <row r="239" spans="1:14" outlineLevel="2" collapsed="1" x14ac:dyDescent="0.35">
      <c r="A239" s="3" t="s">
        <v>38</v>
      </c>
      <c r="B239" s="3"/>
      <c r="C239" s="3"/>
      <c r="D239" s="3"/>
      <c r="E239" s="3"/>
      <c r="F239" s="3"/>
      <c r="G239" s="4"/>
      <c r="H239" s="5"/>
      <c r="I239" s="5"/>
      <c r="J239" s="3"/>
      <c r="K239" s="4"/>
      <c r="L239" s="3"/>
      <c r="M239" s="4"/>
      <c r="N239" s="4"/>
    </row>
    <row r="240" spans="1:14" outlineLevel="3" x14ac:dyDescent="0.35">
      <c r="A240" t="s">
        <v>104</v>
      </c>
      <c r="B240" t="s">
        <v>39</v>
      </c>
      <c r="C240" t="s">
        <v>40</v>
      </c>
      <c r="D240" t="s">
        <v>40</v>
      </c>
      <c r="E240">
        <v>27</v>
      </c>
      <c r="F240">
        <v>3</v>
      </c>
      <c r="G240" s="6">
        <v>11.11</v>
      </c>
      <c r="H240" s="7">
        <v>3</v>
      </c>
      <c r="I240" s="7">
        <v>8.44</v>
      </c>
      <c r="J240">
        <v>0</v>
      </c>
      <c r="K240" s="6">
        <v>0</v>
      </c>
      <c r="L240">
        <v>0</v>
      </c>
      <c r="M240" s="6">
        <v>0</v>
      </c>
      <c r="N240" s="6">
        <v>0</v>
      </c>
    </row>
    <row r="241" spans="1:14" outlineLevel="1" collapsed="1" x14ac:dyDescent="0.35">
      <c r="A241" s="3" t="s">
        <v>108</v>
      </c>
      <c r="B241" s="3"/>
      <c r="C241" s="3"/>
      <c r="D241" s="3"/>
      <c r="E241" s="3"/>
      <c r="F241" s="3"/>
      <c r="G241" s="4"/>
      <c r="H241" s="5"/>
      <c r="I241" s="5"/>
      <c r="J241" s="3"/>
      <c r="K241" s="4"/>
      <c r="L241" s="3"/>
      <c r="M241" s="4"/>
      <c r="N241" s="4"/>
    </row>
    <row r="242" spans="1:14" outlineLevel="2" collapsed="1" x14ac:dyDescent="0.35">
      <c r="A242" s="3" t="s">
        <v>26</v>
      </c>
      <c r="B242" s="3"/>
      <c r="C242" s="3"/>
      <c r="D242" s="3"/>
      <c r="E242" s="3"/>
      <c r="F242" s="3"/>
      <c r="G242" s="4"/>
      <c r="H242" s="5"/>
      <c r="I242" s="5"/>
      <c r="J242" s="3"/>
      <c r="K242" s="4"/>
      <c r="L242" s="3"/>
      <c r="M242" s="4"/>
      <c r="N242" s="4"/>
    </row>
    <row r="243" spans="1:14" outlineLevel="3" x14ac:dyDescent="0.35">
      <c r="A243" t="s">
        <v>109</v>
      </c>
      <c r="B243" t="s">
        <v>28</v>
      </c>
      <c r="C243" t="s">
        <v>29</v>
      </c>
      <c r="D243" t="s">
        <v>29</v>
      </c>
      <c r="E243">
        <v>2</v>
      </c>
      <c r="F243">
        <v>1</v>
      </c>
      <c r="G243" s="6">
        <v>50</v>
      </c>
      <c r="H243" s="7">
        <v>2</v>
      </c>
      <c r="I243" s="7">
        <v>2</v>
      </c>
      <c r="J243">
        <v>0</v>
      </c>
      <c r="K243" s="6">
        <v>0</v>
      </c>
      <c r="L243">
        <v>0</v>
      </c>
      <c r="M243" s="6">
        <v>0</v>
      </c>
      <c r="N243" s="6">
        <v>0</v>
      </c>
    </row>
    <row r="244" spans="1:14" outlineLevel="2" collapsed="1" x14ac:dyDescent="0.35">
      <c r="A244" s="3" t="s">
        <v>71</v>
      </c>
      <c r="B244" s="3"/>
      <c r="C244" s="3"/>
      <c r="D244" s="3"/>
      <c r="E244" s="3"/>
      <c r="F244" s="3"/>
      <c r="G244" s="4"/>
      <c r="H244" s="5"/>
      <c r="I244" s="5"/>
      <c r="J244" s="3"/>
      <c r="K244" s="4"/>
      <c r="L244" s="3"/>
      <c r="M244" s="4"/>
      <c r="N244" s="4"/>
    </row>
    <row r="245" spans="1:14" outlineLevel="3" x14ac:dyDescent="0.35">
      <c r="A245" t="s">
        <v>109</v>
      </c>
      <c r="B245" t="s">
        <v>28</v>
      </c>
      <c r="C245" t="s">
        <v>72</v>
      </c>
      <c r="D245" t="s">
        <v>80</v>
      </c>
      <c r="E245">
        <v>69</v>
      </c>
      <c r="F245">
        <v>0</v>
      </c>
      <c r="G245" s="6">
        <v>0</v>
      </c>
      <c r="H245" s="7"/>
      <c r="I245" s="7"/>
      <c r="J245">
        <v>0</v>
      </c>
      <c r="K245" s="6">
        <v>0</v>
      </c>
      <c r="L245">
        <v>0</v>
      </c>
      <c r="M245" s="6">
        <v>0</v>
      </c>
      <c r="N245" s="6">
        <v>0</v>
      </c>
    </row>
    <row r="246" spans="1:14" outlineLevel="3" x14ac:dyDescent="0.35">
      <c r="A246" t="s">
        <v>109</v>
      </c>
      <c r="B246" t="s">
        <v>28</v>
      </c>
      <c r="C246" t="s">
        <v>72</v>
      </c>
      <c r="D246" t="s">
        <v>90</v>
      </c>
      <c r="E246">
        <v>11</v>
      </c>
      <c r="F246">
        <v>0</v>
      </c>
      <c r="G246" s="6">
        <v>0</v>
      </c>
      <c r="H246" s="7">
        <v>7</v>
      </c>
      <c r="I246" s="7">
        <v>7</v>
      </c>
      <c r="J246">
        <v>0</v>
      </c>
      <c r="K246" s="6">
        <v>0</v>
      </c>
      <c r="L246">
        <v>0</v>
      </c>
      <c r="M246" s="6">
        <v>0</v>
      </c>
      <c r="N246" s="6">
        <v>0</v>
      </c>
    </row>
    <row r="247" spans="1:14" outlineLevel="2" collapsed="1" x14ac:dyDescent="0.35">
      <c r="A247" s="3" t="s">
        <v>33</v>
      </c>
      <c r="B247" s="3"/>
      <c r="C247" s="3"/>
      <c r="D247" s="3"/>
      <c r="E247" s="3"/>
      <c r="F247" s="3"/>
      <c r="G247" s="4"/>
      <c r="H247" s="5"/>
      <c r="I247" s="5"/>
      <c r="J247" s="3"/>
      <c r="K247" s="4"/>
      <c r="L247" s="3"/>
      <c r="M247" s="4"/>
      <c r="N247" s="4"/>
    </row>
    <row r="248" spans="1:14" outlineLevel="3" x14ac:dyDescent="0.35">
      <c r="A248" t="s">
        <v>109</v>
      </c>
      <c r="B248" t="s">
        <v>28</v>
      </c>
      <c r="C248" t="s">
        <v>34</v>
      </c>
      <c r="D248" t="s">
        <v>77</v>
      </c>
      <c r="E248">
        <v>8</v>
      </c>
      <c r="F248">
        <v>0</v>
      </c>
      <c r="G248" s="6">
        <v>0</v>
      </c>
      <c r="H248" s="7">
        <v>23</v>
      </c>
      <c r="I248" s="7">
        <v>23</v>
      </c>
      <c r="J248">
        <v>0</v>
      </c>
      <c r="K248" s="6">
        <v>0</v>
      </c>
      <c r="L248">
        <v>0</v>
      </c>
      <c r="M248" s="6">
        <v>0</v>
      </c>
      <c r="N248" s="6">
        <v>0</v>
      </c>
    </row>
    <row r="249" spans="1:14" outlineLevel="3" x14ac:dyDescent="0.35">
      <c r="A249" t="s">
        <v>109</v>
      </c>
      <c r="B249" t="s">
        <v>28</v>
      </c>
      <c r="C249" t="s">
        <v>34</v>
      </c>
      <c r="D249" t="s">
        <v>85</v>
      </c>
      <c r="E249">
        <v>2</v>
      </c>
      <c r="F249">
        <v>0</v>
      </c>
      <c r="G249" s="6">
        <v>0</v>
      </c>
      <c r="H249" s="7"/>
      <c r="I249" s="7"/>
      <c r="J249">
        <v>0</v>
      </c>
      <c r="K249" s="6">
        <v>0</v>
      </c>
      <c r="L249">
        <v>0</v>
      </c>
      <c r="M249" s="6">
        <v>0</v>
      </c>
      <c r="N249" s="6">
        <v>0</v>
      </c>
    </row>
    <row r="250" spans="1:14" outlineLevel="3" x14ac:dyDescent="0.35">
      <c r="A250" t="s">
        <v>109</v>
      </c>
      <c r="B250" t="s">
        <v>28</v>
      </c>
      <c r="C250" t="s">
        <v>34</v>
      </c>
      <c r="D250" t="s">
        <v>110</v>
      </c>
      <c r="E250">
        <v>1</v>
      </c>
      <c r="F250">
        <v>0</v>
      </c>
      <c r="G250" s="6">
        <v>0</v>
      </c>
      <c r="H250" s="7"/>
      <c r="I250" s="7"/>
      <c r="J250">
        <v>0</v>
      </c>
      <c r="K250" s="6">
        <v>0</v>
      </c>
      <c r="L250">
        <v>0</v>
      </c>
      <c r="M250" s="6">
        <v>0</v>
      </c>
      <c r="N250" s="6">
        <v>0</v>
      </c>
    </row>
    <row r="251" spans="1:14" outlineLevel="3" x14ac:dyDescent="0.35">
      <c r="A251" t="s">
        <v>109</v>
      </c>
      <c r="B251" t="s">
        <v>28</v>
      </c>
      <c r="C251" t="s">
        <v>34</v>
      </c>
      <c r="D251" t="s">
        <v>35</v>
      </c>
      <c r="E251">
        <v>2</v>
      </c>
      <c r="F251">
        <v>0</v>
      </c>
      <c r="G251" s="6">
        <v>0</v>
      </c>
      <c r="H251" s="7"/>
      <c r="I251" s="7"/>
      <c r="J251">
        <v>0</v>
      </c>
      <c r="K251" s="6">
        <v>0</v>
      </c>
      <c r="L251">
        <v>0</v>
      </c>
      <c r="M251" s="6">
        <v>0</v>
      </c>
      <c r="N251" s="6">
        <v>0</v>
      </c>
    </row>
    <row r="252" spans="1:14" outlineLevel="3" x14ac:dyDescent="0.35">
      <c r="A252" t="s">
        <v>109</v>
      </c>
      <c r="B252" t="s">
        <v>28</v>
      </c>
      <c r="C252" t="s">
        <v>34</v>
      </c>
      <c r="D252" t="s">
        <v>34</v>
      </c>
      <c r="E252">
        <v>2</v>
      </c>
      <c r="F252">
        <v>1</v>
      </c>
      <c r="G252" s="6">
        <v>50</v>
      </c>
      <c r="H252" s="7">
        <v>14</v>
      </c>
      <c r="I252" s="7">
        <v>14</v>
      </c>
      <c r="J252">
        <v>0</v>
      </c>
      <c r="K252" s="6">
        <v>0</v>
      </c>
      <c r="L252">
        <v>0</v>
      </c>
      <c r="M252" s="6">
        <v>0</v>
      </c>
      <c r="N252" s="6">
        <v>0</v>
      </c>
    </row>
    <row r="253" spans="1:14" outlineLevel="3" x14ac:dyDescent="0.35">
      <c r="A253" t="s">
        <v>109</v>
      </c>
      <c r="B253" t="s">
        <v>28</v>
      </c>
      <c r="C253" t="s">
        <v>34</v>
      </c>
      <c r="D253" t="s">
        <v>49</v>
      </c>
      <c r="E253">
        <v>9</v>
      </c>
      <c r="F253">
        <v>1</v>
      </c>
      <c r="G253" s="6">
        <v>11.11</v>
      </c>
      <c r="H253" s="7">
        <v>3</v>
      </c>
      <c r="I253" s="7">
        <v>3</v>
      </c>
      <c r="J253">
        <v>0</v>
      </c>
      <c r="K253" s="6">
        <v>0</v>
      </c>
      <c r="L253">
        <v>0</v>
      </c>
      <c r="M253" s="6">
        <v>0</v>
      </c>
      <c r="N253" s="6">
        <v>0</v>
      </c>
    </row>
    <row r="254" spans="1:14" outlineLevel="2" collapsed="1" x14ac:dyDescent="0.35">
      <c r="A254" s="3" t="s">
        <v>111</v>
      </c>
      <c r="B254" s="3"/>
      <c r="C254" s="3"/>
      <c r="D254" s="3"/>
      <c r="E254" s="3"/>
      <c r="F254" s="3"/>
      <c r="G254" s="4"/>
      <c r="H254" s="5"/>
      <c r="I254" s="5"/>
      <c r="J254" s="3"/>
      <c r="K254" s="4"/>
      <c r="L254" s="3"/>
      <c r="M254" s="4"/>
      <c r="N254" s="4"/>
    </row>
    <row r="255" spans="1:14" outlineLevel="3" x14ac:dyDescent="0.35">
      <c r="A255" t="s">
        <v>109</v>
      </c>
      <c r="B255" t="s">
        <v>28</v>
      </c>
      <c r="C255" t="s">
        <v>112</v>
      </c>
      <c r="D255" t="s">
        <v>112</v>
      </c>
      <c r="E255">
        <v>1</v>
      </c>
      <c r="F255">
        <v>0</v>
      </c>
      <c r="G255" s="6">
        <v>0</v>
      </c>
      <c r="H255" s="7">
        <v>3</v>
      </c>
      <c r="I255" s="7">
        <v>3</v>
      </c>
      <c r="J255">
        <v>0</v>
      </c>
      <c r="K255" s="6">
        <v>0</v>
      </c>
      <c r="L255">
        <v>0</v>
      </c>
      <c r="M255" s="6">
        <v>0</v>
      </c>
      <c r="N255" s="6">
        <v>0</v>
      </c>
    </row>
    <row r="256" spans="1:14" outlineLevel="2" collapsed="1" x14ac:dyDescent="0.35">
      <c r="A256" s="3" t="s">
        <v>107</v>
      </c>
      <c r="B256" s="3"/>
      <c r="C256" s="3"/>
      <c r="D256" s="3"/>
      <c r="E256" s="3"/>
      <c r="F256" s="3"/>
      <c r="G256" s="4"/>
      <c r="H256" s="5"/>
      <c r="I256" s="5"/>
      <c r="J256" s="3"/>
      <c r="K256" s="4"/>
      <c r="L256" s="3"/>
      <c r="M256" s="4"/>
      <c r="N256" s="4"/>
    </row>
    <row r="257" spans="1:14" outlineLevel="3" x14ac:dyDescent="0.35">
      <c r="A257" t="s">
        <v>109</v>
      </c>
      <c r="B257" t="s">
        <v>28</v>
      </c>
      <c r="C257" t="s">
        <v>44</v>
      </c>
      <c r="D257" t="s">
        <v>44</v>
      </c>
      <c r="E257">
        <v>2</v>
      </c>
      <c r="F257">
        <v>0</v>
      </c>
      <c r="G257" s="6">
        <v>0</v>
      </c>
      <c r="H257" s="7"/>
      <c r="I257" s="7"/>
      <c r="J257">
        <v>0</v>
      </c>
      <c r="K257" s="6">
        <v>0</v>
      </c>
      <c r="L257">
        <v>0</v>
      </c>
      <c r="M257" s="6">
        <v>0</v>
      </c>
      <c r="N257" s="6">
        <v>0</v>
      </c>
    </row>
    <row r="258" spans="1:14" outlineLevel="2" collapsed="1" x14ac:dyDescent="0.35">
      <c r="A258" s="3" t="s">
        <v>38</v>
      </c>
      <c r="B258" s="3"/>
      <c r="C258" s="3"/>
      <c r="D258" s="3"/>
      <c r="E258" s="3"/>
      <c r="F258" s="3"/>
      <c r="G258" s="4"/>
      <c r="H258" s="5"/>
      <c r="I258" s="5"/>
      <c r="J258" s="3"/>
      <c r="K258" s="4"/>
      <c r="L258" s="3"/>
      <c r="M258" s="4"/>
      <c r="N258" s="4"/>
    </row>
    <row r="259" spans="1:14" outlineLevel="3" x14ac:dyDescent="0.35">
      <c r="A259" t="s">
        <v>109</v>
      </c>
      <c r="B259" t="s">
        <v>39</v>
      </c>
      <c r="C259" t="s">
        <v>40</v>
      </c>
      <c r="D259" t="s">
        <v>40</v>
      </c>
      <c r="E259">
        <v>31</v>
      </c>
      <c r="F259">
        <v>2</v>
      </c>
      <c r="G259" s="6">
        <v>6.45</v>
      </c>
      <c r="H259" s="7">
        <v>12.5</v>
      </c>
      <c r="I259" s="7">
        <v>15</v>
      </c>
      <c r="J259">
        <v>0</v>
      </c>
      <c r="K259" s="6">
        <v>0</v>
      </c>
      <c r="L259">
        <v>0</v>
      </c>
      <c r="M259" s="6">
        <v>0</v>
      </c>
      <c r="N259" s="6">
        <v>0</v>
      </c>
    </row>
    <row r="260" spans="1:14" outlineLevel="2" collapsed="1" x14ac:dyDescent="0.35">
      <c r="A260" s="3" t="s">
        <v>113</v>
      </c>
      <c r="B260" s="3"/>
      <c r="C260" s="3"/>
      <c r="D260" s="3"/>
      <c r="E260" s="3"/>
      <c r="F260" s="3"/>
      <c r="G260" s="4"/>
      <c r="H260" s="5"/>
      <c r="I260" s="5"/>
      <c r="J260" s="3"/>
      <c r="K260" s="4"/>
      <c r="L260" s="3"/>
      <c r="M260" s="4"/>
      <c r="N260" s="4"/>
    </row>
    <row r="261" spans="1:14" outlineLevel="3" x14ac:dyDescent="0.35">
      <c r="A261" t="s">
        <v>109</v>
      </c>
      <c r="B261" t="s">
        <v>39</v>
      </c>
      <c r="C261" t="s">
        <v>114</v>
      </c>
      <c r="D261" t="s">
        <v>114</v>
      </c>
      <c r="E261">
        <v>1</v>
      </c>
      <c r="F261">
        <v>0</v>
      </c>
      <c r="G261" s="6">
        <v>0</v>
      </c>
      <c r="H261" s="7"/>
      <c r="I261" s="7"/>
      <c r="J261">
        <v>0</v>
      </c>
      <c r="K261" s="6">
        <v>0</v>
      </c>
      <c r="L261">
        <v>0</v>
      </c>
      <c r="M261" s="6">
        <v>0</v>
      </c>
      <c r="N261" s="6">
        <v>0</v>
      </c>
    </row>
    <row r="262" spans="1:14" outlineLevel="2" collapsed="1" x14ac:dyDescent="0.35">
      <c r="A262" s="3" t="s">
        <v>41</v>
      </c>
      <c r="B262" s="3"/>
      <c r="C262" s="3"/>
      <c r="D262" s="3"/>
      <c r="E262" s="3"/>
      <c r="F262" s="3"/>
      <c r="G262" s="4"/>
      <c r="H262" s="5"/>
      <c r="I262" s="5"/>
      <c r="J262" s="3"/>
      <c r="K262" s="4"/>
      <c r="L262" s="3"/>
      <c r="M262" s="4"/>
      <c r="N262" s="4"/>
    </row>
    <row r="263" spans="1:14" outlineLevel="3" x14ac:dyDescent="0.35">
      <c r="A263" t="s">
        <v>109</v>
      </c>
      <c r="B263" t="s">
        <v>39</v>
      </c>
      <c r="C263" t="s">
        <v>42</v>
      </c>
      <c r="D263" t="s">
        <v>42</v>
      </c>
      <c r="E263">
        <v>1</v>
      </c>
      <c r="F263">
        <v>1</v>
      </c>
      <c r="G263" s="6">
        <v>100</v>
      </c>
      <c r="H263" s="7">
        <v>23</v>
      </c>
      <c r="I263" s="7">
        <v>23</v>
      </c>
      <c r="J263">
        <v>0</v>
      </c>
      <c r="K263" s="6">
        <v>0</v>
      </c>
      <c r="L263">
        <v>0</v>
      </c>
      <c r="M263" s="6">
        <v>0</v>
      </c>
      <c r="N263" s="6">
        <v>0</v>
      </c>
    </row>
  </sheetData>
  <autoFilter ref="A1:N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3" width="18" customWidth="1"/>
    <col min="4" max="4" width="19" customWidth="1"/>
    <col min="5" max="6" width="29" customWidth="1"/>
    <col min="7" max="7" width="26" customWidth="1"/>
    <col min="8" max="8" width="28" customWidth="1"/>
    <col min="9" max="9" width="33" customWidth="1"/>
    <col min="10" max="10" width="22" customWidth="1"/>
    <col min="11" max="11" width="25" customWidth="1"/>
  </cols>
  <sheetData>
    <row r="1" spans="1:11" x14ac:dyDescent="0.35">
      <c r="A1" s="2" t="s">
        <v>11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35">
      <c r="A2" s="8" t="s">
        <v>27</v>
      </c>
      <c r="B2" s="8">
        <v>191</v>
      </c>
      <c r="C2" s="8">
        <v>42</v>
      </c>
      <c r="D2" s="9">
        <v>21.99</v>
      </c>
      <c r="E2" s="10">
        <v>7.5</v>
      </c>
      <c r="F2" s="10">
        <v>31.02</v>
      </c>
      <c r="G2" s="8">
        <v>28</v>
      </c>
      <c r="H2" s="9">
        <v>14.66</v>
      </c>
      <c r="I2" s="8">
        <v>2</v>
      </c>
      <c r="J2" s="9">
        <v>1.05</v>
      </c>
      <c r="K2" s="9">
        <v>7.14</v>
      </c>
    </row>
    <row r="3" spans="1:11" x14ac:dyDescent="0.35">
      <c r="A3" s="8" t="s">
        <v>46</v>
      </c>
      <c r="B3" s="8">
        <v>215</v>
      </c>
      <c r="C3" s="8">
        <v>23</v>
      </c>
      <c r="D3" s="9">
        <v>10.7</v>
      </c>
      <c r="E3" s="10">
        <v>13</v>
      </c>
      <c r="F3" s="10">
        <v>39.72</v>
      </c>
      <c r="G3" s="8">
        <v>2</v>
      </c>
      <c r="H3" s="9">
        <v>0.93</v>
      </c>
      <c r="I3" s="8">
        <v>0</v>
      </c>
      <c r="J3" s="9">
        <v>0</v>
      </c>
      <c r="K3" s="9">
        <v>0</v>
      </c>
    </row>
    <row r="4" spans="1:11" x14ac:dyDescent="0.35">
      <c r="A4" s="8" t="s">
        <v>54</v>
      </c>
      <c r="B4" s="8">
        <v>183</v>
      </c>
      <c r="C4" s="8">
        <v>19</v>
      </c>
      <c r="D4" s="9">
        <v>10.38</v>
      </c>
      <c r="E4" s="10">
        <v>12</v>
      </c>
      <c r="F4" s="10">
        <v>21.63</v>
      </c>
      <c r="G4" s="8">
        <v>0</v>
      </c>
      <c r="H4" s="9">
        <v>0</v>
      </c>
      <c r="I4" s="8">
        <v>0</v>
      </c>
      <c r="J4" s="9">
        <v>0</v>
      </c>
      <c r="K4" s="9">
        <v>0</v>
      </c>
    </row>
    <row r="5" spans="1:11" x14ac:dyDescent="0.35">
      <c r="A5" s="8" t="s">
        <v>70</v>
      </c>
      <c r="B5" s="8">
        <v>593</v>
      </c>
      <c r="C5" s="8">
        <v>29</v>
      </c>
      <c r="D5" s="9">
        <v>4.8899999999999997</v>
      </c>
      <c r="E5" s="10">
        <v>33</v>
      </c>
      <c r="F5" s="10">
        <v>64.41</v>
      </c>
      <c r="G5" s="8">
        <v>0</v>
      </c>
      <c r="H5" s="9">
        <v>0</v>
      </c>
      <c r="I5" s="8">
        <v>0</v>
      </c>
      <c r="J5" s="9">
        <v>0</v>
      </c>
      <c r="K5" s="9">
        <v>0</v>
      </c>
    </row>
    <row r="6" spans="1:11" x14ac:dyDescent="0.35">
      <c r="A6" s="8" t="s">
        <v>79</v>
      </c>
      <c r="B6" s="8">
        <v>565</v>
      </c>
      <c r="C6" s="8">
        <v>20</v>
      </c>
      <c r="D6" s="9">
        <v>3.54</v>
      </c>
      <c r="E6" s="10">
        <v>21</v>
      </c>
      <c r="F6" s="10">
        <v>49.52</v>
      </c>
      <c r="G6" s="8">
        <v>0</v>
      </c>
      <c r="H6" s="9">
        <v>0</v>
      </c>
      <c r="I6" s="8">
        <v>0</v>
      </c>
      <c r="J6" s="9">
        <v>0</v>
      </c>
      <c r="K6" s="9">
        <v>0</v>
      </c>
    </row>
    <row r="7" spans="1:11" x14ac:dyDescent="0.35">
      <c r="A7" s="8" t="s">
        <v>84</v>
      </c>
      <c r="B7" s="8">
        <v>284</v>
      </c>
      <c r="C7" s="8">
        <v>22</v>
      </c>
      <c r="D7" s="9">
        <v>7.75</v>
      </c>
      <c r="E7" s="10">
        <v>11</v>
      </c>
      <c r="F7" s="10">
        <v>16.88</v>
      </c>
      <c r="G7" s="8">
        <v>0</v>
      </c>
      <c r="H7" s="9">
        <v>0</v>
      </c>
      <c r="I7" s="8">
        <v>0</v>
      </c>
      <c r="J7" s="9">
        <v>0</v>
      </c>
      <c r="K7" s="9">
        <v>0</v>
      </c>
    </row>
    <row r="8" spans="1:11" x14ac:dyDescent="0.35">
      <c r="A8" s="8" t="s">
        <v>89</v>
      </c>
      <c r="B8" s="8">
        <v>367</v>
      </c>
      <c r="C8" s="8">
        <v>17</v>
      </c>
      <c r="D8" s="9">
        <v>4.63</v>
      </c>
      <c r="E8" s="10">
        <v>5.5</v>
      </c>
      <c r="F8" s="10">
        <v>14.6</v>
      </c>
      <c r="G8" s="8">
        <v>0</v>
      </c>
      <c r="H8" s="9">
        <v>0</v>
      </c>
      <c r="I8" s="8">
        <v>0</v>
      </c>
      <c r="J8" s="9">
        <v>0</v>
      </c>
      <c r="K8" s="9">
        <v>0</v>
      </c>
    </row>
    <row r="9" spans="1:11" x14ac:dyDescent="0.35">
      <c r="A9" s="8" t="s">
        <v>93</v>
      </c>
      <c r="B9" s="8">
        <v>216</v>
      </c>
      <c r="C9" s="8">
        <v>7</v>
      </c>
      <c r="D9" s="9">
        <v>3.24</v>
      </c>
      <c r="E9" s="10">
        <v>7.5</v>
      </c>
      <c r="F9" s="10">
        <v>20.6</v>
      </c>
      <c r="G9" s="8">
        <v>0</v>
      </c>
      <c r="H9" s="9">
        <v>0</v>
      </c>
      <c r="I9" s="8">
        <v>0</v>
      </c>
      <c r="J9" s="9">
        <v>0</v>
      </c>
      <c r="K9" s="9">
        <v>0</v>
      </c>
    </row>
    <row r="10" spans="1:11" x14ac:dyDescent="0.35">
      <c r="A10" s="8" t="s">
        <v>95</v>
      </c>
      <c r="B10" s="8">
        <v>249</v>
      </c>
      <c r="C10" s="8">
        <v>10</v>
      </c>
      <c r="D10" s="9">
        <v>4.0199999999999996</v>
      </c>
      <c r="E10" s="10">
        <v>5</v>
      </c>
      <c r="F10" s="10">
        <v>13</v>
      </c>
      <c r="G10" s="8">
        <v>0</v>
      </c>
      <c r="H10" s="9">
        <v>0</v>
      </c>
      <c r="I10" s="8">
        <v>0</v>
      </c>
      <c r="J10" s="9">
        <v>0</v>
      </c>
      <c r="K10" s="9">
        <v>0</v>
      </c>
    </row>
    <row r="11" spans="1:11" x14ac:dyDescent="0.35">
      <c r="A11" s="8" t="s">
        <v>98</v>
      </c>
      <c r="B11" s="8">
        <v>677</v>
      </c>
      <c r="C11" s="8">
        <v>7</v>
      </c>
      <c r="D11" s="9">
        <v>1.03</v>
      </c>
      <c r="E11" s="10">
        <v>6.5</v>
      </c>
      <c r="F11" s="10">
        <v>14.92</v>
      </c>
      <c r="G11" s="8">
        <v>0</v>
      </c>
      <c r="H11" s="9">
        <v>0</v>
      </c>
      <c r="I11" s="8">
        <v>0</v>
      </c>
      <c r="J11" s="9">
        <v>0</v>
      </c>
      <c r="K11" s="9">
        <v>0</v>
      </c>
    </row>
    <row r="12" spans="1:11" x14ac:dyDescent="0.35">
      <c r="A12" s="8" t="s">
        <v>104</v>
      </c>
      <c r="B12" s="8">
        <v>174</v>
      </c>
      <c r="C12" s="8">
        <v>6</v>
      </c>
      <c r="D12" s="9">
        <v>3.45</v>
      </c>
      <c r="E12" s="10">
        <v>3.5</v>
      </c>
      <c r="F12" s="10">
        <v>8.2899999999999991</v>
      </c>
      <c r="G12" s="8">
        <v>1</v>
      </c>
      <c r="H12" s="9">
        <v>0.56999999999999995</v>
      </c>
      <c r="I12" s="8">
        <v>1</v>
      </c>
      <c r="J12" s="9">
        <v>0.56999999999999995</v>
      </c>
      <c r="K12" s="9">
        <v>100</v>
      </c>
    </row>
    <row r="13" spans="1:11" x14ac:dyDescent="0.35">
      <c r="A13" s="8" t="s">
        <v>109</v>
      </c>
      <c r="B13" s="8">
        <v>142</v>
      </c>
      <c r="C13" s="8">
        <v>6</v>
      </c>
      <c r="D13" s="9">
        <v>4.2300000000000004</v>
      </c>
      <c r="E13" s="10">
        <v>10</v>
      </c>
      <c r="F13" s="10">
        <v>12.42</v>
      </c>
      <c r="G13" s="8">
        <v>0</v>
      </c>
      <c r="H13" s="9">
        <v>0</v>
      </c>
      <c r="I13" s="8">
        <v>0</v>
      </c>
      <c r="J13" s="9">
        <v>0</v>
      </c>
      <c r="K13" s="9">
        <v>0</v>
      </c>
    </row>
  </sheetData>
  <autoFilter ref="A1:K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7"/>
  <sheetViews>
    <sheetView tabSelected="1" topLeftCell="B1" workbookViewId="0">
      <pane ySplit="1" topLeftCell="A29" activePane="bottomLeft" state="frozen"/>
      <selection pane="bottomLeft" activeCell="W47" sqref="W47"/>
    </sheetView>
  </sheetViews>
  <sheetFormatPr defaultRowHeight="14.5" x14ac:dyDescent="0.35"/>
  <cols>
    <col min="1" max="1" width="19" customWidth="1"/>
    <col min="2" max="2" width="39" customWidth="1"/>
    <col min="3" max="3" width="47" customWidth="1"/>
    <col min="4" max="6" width="10" customWidth="1"/>
    <col min="7" max="7" width="10.1796875" customWidth="1"/>
    <col min="8" max="8" width="10" customWidth="1"/>
    <col min="9" max="9" width="10.1796875" customWidth="1"/>
    <col min="10" max="11" width="10" customWidth="1"/>
    <col min="12" max="12" width="10.54296875" customWidth="1"/>
    <col min="13" max="13" width="13" customWidth="1"/>
    <col min="14" max="14" width="10" customWidth="1"/>
    <col min="15" max="15" width="10.36328125" customWidth="1"/>
    <col min="16" max="17" width="18" customWidth="1"/>
    <col min="18" max="18" width="19" customWidth="1"/>
    <col min="19" max="20" width="29" customWidth="1"/>
    <col min="21" max="21" width="26" customWidth="1"/>
    <col min="22" max="22" width="28" customWidth="1"/>
    <col min="23" max="23" width="22" customWidth="1"/>
    <col min="24" max="24" width="25" customWidth="1"/>
  </cols>
  <sheetData>
    <row r="1" spans="1:24" x14ac:dyDescent="0.35">
      <c r="A1" s="2" t="s">
        <v>12</v>
      </c>
      <c r="B1" s="2" t="s">
        <v>13</v>
      </c>
      <c r="C1" s="2" t="s">
        <v>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23</v>
      </c>
      <c r="X1" s="2" t="s">
        <v>24</v>
      </c>
    </row>
    <row r="2" spans="1:24" x14ac:dyDescent="0.35">
      <c r="A2" s="8" t="s">
        <v>28</v>
      </c>
      <c r="B2" s="8" t="s">
        <v>29</v>
      </c>
      <c r="C2" s="8" t="s">
        <v>29</v>
      </c>
      <c r="D2" s="11">
        <v>1</v>
      </c>
      <c r="E2" s="11">
        <v>2</v>
      </c>
      <c r="F2" s="11">
        <v>0</v>
      </c>
      <c r="G2" s="11">
        <v>2</v>
      </c>
      <c r="H2" s="11">
        <v>2</v>
      </c>
      <c r="I2" s="11">
        <v>1</v>
      </c>
      <c r="J2" s="11">
        <v>2</v>
      </c>
      <c r="K2" s="11">
        <v>0</v>
      </c>
      <c r="L2" s="11">
        <v>1</v>
      </c>
      <c r="M2" s="11">
        <v>0</v>
      </c>
      <c r="N2" s="11">
        <v>0</v>
      </c>
      <c r="O2" s="11">
        <v>2</v>
      </c>
      <c r="P2" s="8">
        <v>13</v>
      </c>
      <c r="Q2" s="8">
        <v>7</v>
      </c>
      <c r="R2" s="9">
        <v>53.85</v>
      </c>
      <c r="S2" s="10">
        <v>2</v>
      </c>
      <c r="T2" s="10">
        <v>2.71</v>
      </c>
      <c r="U2" s="8">
        <v>2</v>
      </c>
      <c r="V2" s="9">
        <v>15.38</v>
      </c>
      <c r="W2" s="9">
        <f>Tabela1[[#This Row],[Liczba Deali z projektów]]/Tabela1[[#This Row],[Liczba projektów]]</f>
        <v>0.15384615384615385</v>
      </c>
      <c r="X2" s="9">
        <v>0</v>
      </c>
    </row>
    <row r="3" spans="1:24" x14ac:dyDescent="0.35">
      <c r="A3" s="8" t="s">
        <v>28</v>
      </c>
      <c r="B3" s="8" t="s">
        <v>72</v>
      </c>
      <c r="C3" s="8" t="s">
        <v>73</v>
      </c>
      <c r="D3" s="11">
        <v>0</v>
      </c>
      <c r="E3" s="11">
        <v>0</v>
      </c>
      <c r="F3" s="11">
        <v>0</v>
      </c>
      <c r="G3" s="11">
        <v>73</v>
      </c>
      <c r="H3" s="11">
        <v>138</v>
      </c>
      <c r="I3" s="11">
        <v>68</v>
      </c>
      <c r="J3" s="11">
        <v>146</v>
      </c>
      <c r="K3" s="11">
        <v>103</v>
      </c>
      <c r="L3" s="11">
        <v>4</v>
      </c>
      <c r="M3" s="11">
        <v>0</v>
      </c>
      <c r="N3" s="11">
        <v>0</v>
      </c>
      <c r="O3" s="11">
        <v>0</v>
      </c>
      <c r="P3" s="8">
        <v>532</v>
      </c>
      <c r="Q3" s="8">
        <v>4</v>
      </c>
      <c r="R3" s="9">
        <v>0.75</v>
      </c>
      <c r="S3" s="10">
        <v>27</v>
      </c>
      <c r="T3" s="10">
        <v>70</v>
      </c>
      <c r="U3" s="8">
        <v>0</v>
      </c>
      <c r="V3" s="9">
        <v>0</v>
      </c>
      <c r="W3" s="9">
        <f>Tabela1[[#This Row],[Liczba Deali z projektów]]/Tabela1[[#This Row],[Liczba projektów]]</f>
        <v>0</v>
      </c>
      <c r="X3" s="9">
        <v>0</v>
      </c>
    </row>
    <row r="4" spans="1:24" x14ac:dyDescent="0.35">
      <c r="A4" s="8" t="s">
        <v>28</v>
      </c>
      <c r="B4" s="8" t="s">
        <v>72</v>
      </c>
      <c r="C4" s="8" t="s">
        <v>80</v>
      </c>
      <c r="D4" s="11">
        <v>0</v>
      </c>
      <c r="E4" s="11">
        <v>0</v>
      </c>
      <c r="F4" s="11">
        <v>0</v>
      </c>
      <c r="G4" s="11">
        <v>0</v>
      </c>
      <c r="H4" s="11">
        <v>50</v>
      </c>
      <c r="I4" s="11">
        <v>89</v>
      </c>
      <c r="J4" s="11">
        <v>128</v>
      </c>
      <c r="K4" s="11">
        <v>78</v>
      </c>
      <c r="L4" s="11">
        <v>48</v>
      </c>
      <c r="M4" s="11">
        <v>64</v>
      </c>
      <c r="N4" s="11">
        <v>74</v>
      </c>
      <c r="O4" s="11">
        <v>69</v>
      </c>
      <c r="P4" s="8">
        <v>600</v>
      </c>
      <c r="Q4" s="8">
        <v>5</v>
      </c>
      <c r="R4" s="9">
        <v>0.83</v>
      </c>
      <c r="S4" s="10">
        <v>15.5</v>
      </c>
      <c r="T4" s="10">
        <v>16.329999999999998</v>
      </c>
      <c r="U4" s="8">
        <v>0</v>
      </c>
      <c r="V4" s="9">
        <v>0</v>
      </c>
      <c r="W4" s="9">
        <f>Tabela1[[#This Row],[Liczba Deali z projektów]]/Tabela1[[#This Row],[Liczba projektów]]</f>
        <v>0</v>
      </c>
      <c r="X4" s="9">
        <v>0</v>
      </c>
    </row>
    <row r="5" spans="1:24" x14ac:dyDescent="0.35">
      <c r="A5" s="8" t="s">
        <v>28</v>
      </c>
      <c r="B5" s="8" t="s">
        <v>72</v>
      </c>
      <c r="C5" s="8" t="s">
        <v>96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23</v>
      </c>
      <c r="M5" s="11">
        <v>15</v>
      </c>
      <c r="N5" s="11">
        <v>14</v>
      </c>
      <c r="O5" s="11">
        <v>0</v>
      </c>
      <c r="P5" s="8">
        <v>52</v>
      </c>
      <c r="Q5" s="8">
        <v>1</v>
      </c>
      <c r="R5" s="9">
        <v>1.92</v>
      </c>
      <c r="S5" s="10">
        <v>15</v>
      </c>
      <c r="T5" s="10">
        <v>15</v>
      </c>
      <c r="U5" s="8">
        <v>0</v>
      </c>
      <c r="V5" s="9">
        <v>0</v>
      </c>
      <c r="W5" s="9">
        <f>Tabela1[[#This Row],[Liczba Deali z projektów]]/Tabela1[[#This Row],[Liczba projektów]]</f>
        <v>0</v>
      </c>
      <c r="X5" s="9">
        <v>0</v>
      </c>
    </row>
    <row r="6" spans="1:24" x14ac:dyDescent="0.35">
      <c r="A6" s="8" t="s">
        <v>28</v>
      </c>
      <c r="B6" s="8" t="s">
        <v>72</v>
      </c>
      <c r="C6" s="8" t="s">
        <v>105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14</v>
      </c>
      <c r="O6" s="11">
        <v>0</v>
      </c>
      <c r="P6" s="8">
        <v>14</v>
      </c>
      <c r="Q6" s="8">
        <v>0</v>
      </c>
      <c r="R6" s="9">
        <v>0</v>
      </c>
      <c r="S6" s="10"/>
      <c r="T6" s="10"/>
      <c r="U6" s="8">
        <v>0</v>
      </c>
      <c r="V6" s="9">
        <v>0</v>
      </c>
      <c r="W6" s="9">
        <f>Tabela1[[#This Row],[Liczba Deali z projektów]]/Tabela1[[#This Row],[Liczba projektów]]</f>
        <v>0</v>
      </c>
      <c r="X6" s="9">
        <v>0</v>
      </c>
    </row>
    <row r="7" spans="1:24" x14ac:dyDescent="0.35">
      <c r="A7" s="8" t="s">
        <v>28</v>
      </c>
      <c r="B7" s="8" t="s">
        <v>72</v>
      </c>
      <c r="C7" s="8" t="s">
        <v>90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10</v>
      </c>
      <c r="K7" s="11">
        <v>6</v>
      </c>
      <c r="L7" s="11">
        <v>6</v>
      </c>
      <c r="M7" s="11">
        <v>9</v>
      </c>
      <c r="N7" s="11">
        <v>7</v>
      </c>
      <c r="O7" s="11">
        <v>11</v>
      </c>
      <c r="P7" s="8">
        <v>49</v>
      </c>
      <c r="Q7" s="8">
        <v>4</v>
      </c>
      <c r="R7" s="9">
        <v>8.16</v>
      </c>
      <c r="S7" s="10">
        <v>7</v>
      </c>
      <c r="T7" s="10">
        <v>5.6</v>
      </c>
      <c r="U7" s="8">
        <v>0</v>
      </c>
      <c r="V7" s="9">
        <v>0</v>
      </c>
      <c r="W7" s="9">
        <f>Tabela1[[#This Row],[Liczba Deali z projektów]]/Tabela1[[#This Row],[Liczba projektów]]</f>
        <v>0</v>
      </c>
      <c r="X7" s="9">
        <v>0</v>
      </c>
    </row>
    <row r="8" spans="1:24" x14ac:dyDescent="0.35">
      <c r="A8" s="8" t="s">
        <v>28</v>
      </c>
      <c r="B8" s="8" t="s">
        <v>55</v>
      </c>
      <c r="C8" s="8" t="s">
        <v>55</v>
      </c>
      <c r="D8" s="11">
        <v>0</v>
      </c>
      <c r="E8" s="11">
        <v>0</v>
      </c>
      <c r="F8" s="11">
        <v>1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8">
        <v>1</v>
      </c>
      <c r="Q8" s="8">
        <v>1</v>
      </c>
      <c r="R8" s="9">
        <v>100</v>
      </c>
      <c r="S8" s="10">
        <v>34</v>
      </c>
      <c r="T8" s="10">
        <v>34</v>
      </c>
      <c r="U8" s="8">
        <v>0</v>
      </c>
      <c r="V8" s="9">
        <v>0</v>
      </c>
      <c r="W8" s="9">
        <f>Tabela1[[#This Row],[Liczba Deali z projektów]]/Tabela1[[#This Row],[Liczba projektów]]</f>
        <v>0</v>
      </c>
      <c r="X8" s="9">
        <v>0</v>
      </c>
    </row>
    <row r="9" spans="1:24" x14ac:dyDescent="0.35">
      <c r="A9" s="8" t="s">
        <v>28</v>
      </c>
      <c r="B9" s="8" t="s">
        <v>100</v>
      </c>
      <c r="C9" s="8" t="s">
        <v>101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8">
        <v>1</v>
      </c>
      <c r="Q9" s="8">
        <v>1</v>
      </c>
      <c r="R9" s="9">
        <v>100</v>
      </c>
      <c r="S9" s="10">
        <v>8</v>
      </c>
      <c r="T9" s="10">
        <v>8</v>
      </c>
      <c r="U9" s="8">
        <v>0</v>
      </c>
      <c r="V9" s="9">
        <v>0</v>
      </c>
      <c r="W9" s="9">
        <f>Tabela1[[#This Row],[Liczba Deali z projektów]]/Tabela1[[#This Row],[Liczba projektów]]</f>
        <v>0</v>
      </c>
      <c r="X9" s="9">
        <v>0</v>
      </c>
    </row>
    <row r="10" spans="1:24" x14ac:dyDescent="0.35">
      <c r="A10" s="8" t="s">
        <v>28</v>
      </c>
      <c r="B10" s="8" t="s">
        <v>75</v>
      </c>
      <c r="C10" s="8" t="s">
        <v>75</v>
      </c>
      <c r="D10" s="11">
        <v>0</v>
      </c>
      <c r="E10" s="11">
        <v>0</v>
      </c>
      <c r="F10" s="11">
        <v>0</v>
      </c>
      <c r="G10" s="11">
        <v>2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8">
        <v>2</v>
      </c>
      <c r="Q10" s="8">
        <v>0</v>
      </c>
      <c r="R10" s="9">
        <v>0</v>
      </c>
      <c r="S10" s="10"/>
      <c r="T10" s="10"/>
      <c r="U10" s="8">
        <v>0</v>
      </c>
      <c r="V10" s="9">
        <v>0</v>
      </c>
      <c r="W10" s="9">
        <f>Tabela1[[#This Row],[Liczba Deali z projektów]]/Tabela1[[#This Row],[Liczba projektów]]</f>
        <v>0</v>
      </c>
      <c r="X10" s="9">
        <v>0</v>
      </c>
    </row>
    <row r="11" spans="1:24" x14ac:dyDescent="0.35">
      <c r="A11" s="8" t="s">
        <v>28</v>
      </c>
      <c r="B11" s="8" t="s">
        <v>31</v>
      </c>
      <c r="C11" s="8" t="s">
        <v>47</v>
      </c>
      <c r="D11" s="11">
        <v>0</v>
      </c>
      <c r="E11" s="11">
        <v>1</v>
      </c>
      <c r="F11" s="11">
        <v>1</v>
      </c>
      <c r="G11" s="11">
        <v>1</v>
      </c>
      <c r="H11" s="11">
        <v>0</v>
      </c>
      <c r="I11" s="11">
        <v>1</v>
      </c>
      <c r="J11" s="11">
        <v>3</v>
      </c>
      <c r="K11" s="11">
        <v>0</v>
      </c>
      <c r="L11" s="11">
        <v>2</v>
      </c>
      <c r="M11" s="11">
        <v>0</v>
      </c>
      <c r="N11" s="11">
        <v>0</v>
      </c>
      <c r="O11" s="11">
        <v>0</v>
      </c>
      <c r="P11" s="8">
        <v>9</v>
      </c>
      <c r="Q11" s="8">
        <v>5</v>
      </c>
      <c r="R11" s="9">
        <v>55.56</v>
      </c>
      <c r="S11" s="10">
        <v>4</v>
      </c>
      <c r="T11" s="10">
        <v>9.83</v>
      </c>
      <c r="U11" s="8">
        <v>0</v>
      </c>
      <c r="V11" s="9">
        <v>0</v>
      </c>
      <c r="W11" s="9">
        <f>Tabela1[[#This Row],[Liczba Deali z projektów]]/Tabela1[[#This Row],[Liczba projektów]]</f>
        <v>0</v>
      </c>
      <c r="X11" s="9">
        <v>0</v>
      </c>
    </row>
    <row r="12" spans="1:24" x14ac:dyDescent="0.35">
      <c r="A12" s="8" t="s">
        <v>28</v>
      </c>
      <c r="B12" s="8" t="s">
        <v>31</v>
      </c>
      <c r="C12" s="8" t="s">
        <v>76</v>
      </c>
      <c r="D12" s="11">
        <v>0</v>
      </c>
      <c r="E12" s="11">
        <v>0</v>
      </c>
      <c r="F12" s="11">
        <v>0</v>
      </c>
      <c r="G12" s="11">
        <v>1</v>
      </c>
      <c r="H12" s="11">
        <v>0</v>
      </c>
      <c r="I12" s="11">
        <v>1</v>
      </c>
      <c r="J12" s="11">
        <v>1</v>
      </c>
      <c r="K12" s="11">
        <v>0</v>
      </c>
      <c r="L12" s="11">
        <v>124</v>
      </c>
      <c r="M12" s="11">
        <v>541</v>
      </c>
      <c r="N12" s="11">
        <v>1</v>
      </c>
      <c r="O12" s="11">
        <v>0</v>
      </c>
      <c r="P12" s="8">
        <v>669</v>
      </c>
      <c r="Q12" s="8">
        <v>2</v>
      </c>
      <c r="R12" s="9">
        <v>0.3</v>
      </c>
      <c r="S12" s="10">
        <v>7.5</v>
      </c>
      <c r="T12" s="10">
        <v>7.5</v>
      </c>
      <c r="U12" s="8">
        <v>0</v>
      </c>
      <c r="V12" s="9">
        <v>0</v>
      </c>
      <c r="W12" s="9">
        <f>Tabela1[[#This Row],[Liczba Deali z projektów]]/Tabela1[[#This Row],[Liczba projektów]]</f>
        <v>0</v>
      </c>
      <c r="X12" s="9">
        <v>0</v>
      </c>
    </row>
    <row r="13" spans="1:24" x14ac:dyDescent="0.35">
      <c r="A13" s="8" t="s">
        <v>28</v>
      </c>
      <c r="B13" s="8" t="s">
        <v>31</v>
      </c>
      <c r="C13" s="8" t="s">
        <v>31</v>
      </c>
      <c r="D13" s="11">
        <v>9</v>
      </c>
      <c r="E13" s="11">
        <v>0</v>
      </c>
      <c r="F13" s="11">
        <v>1</v>
      </c>
      <c r="G13" s="11">
        <v>2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8">
        <v>12</v>
      </c>
      <c r="Q13" s="8">
        <v>2</v>
      </c>
      <c r="R13" s="9">
        <v>16.670000000000002</v>
      </c>
      <c r="S13" s="10">
        <v>6</v>
      </c>
      <c r="T13" s="10">
        <v>6</v>
      </c>
      <c r="U13" s="8">
        <v>2</v>
      </c>
      <c r="V13" s="9">
        <v>16.670000000000002</v>
      </c>
      <c r="W13" s="9">
        <f>Tabela1[[#This Row],[Liczba Deali z projektów]]/Tabela1[[#This Row],[Liczba projektów]]</f>
        <v>0.16666666666666666</v>
      </c>
      <c r="X13" s="9">
        <v>0</v>
      </c>
    </row>
    <row r="14" spans="1:24" x14ac:dyDescent="0.35">
      <c r="A14" s="8" t="s">
        <v>28</v>
      </c>
      <c r="B14" s="8" t="s">
        <v>31</v>
      </c>
      <c r="C14" s="8" t="s">
        <v>32</v>
      </c>
      <c r="D14" s="11">
        <v>1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1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8">
        <v>2</v>
      </c>
      <c r="Q14" s="8">
        <v>1</v>
      </c>
      <c r="R14" s="9">
        <v>50</v>
      </c>
      <c r="S14" s="10">
        <v>4</v>
      </c>
      <c r="T14" s="10">
        <v>4</v>
      </c>
      <c r="U14" s="8">
        <v>0</v>
      </c>
      <c r="V14" s="9">
        <v>0</v>
      </c>
      <c r="W14" s="9">
        <f>Tabela1[[#This Row],[Liczba Deali z projektów]]/Tabela1[[#This Row],[Liczba projektów]]</f>
        <v>0</v>
      </c>
      <c r="X14" s="9">
        <v>0</v>
      </c>
    </row>
    <row r="15" spans="1:24" x14ac:dyDescent="0.35">
      <c r="A15" s="8" t="s">
        <v>28</v>
      </c>
      <c r="B15" s="8" t="s">
        <v>34</v>
      </c>
      <c r="C15" s="8" t="s">
        <v>56</v>
      </c>
      <c r="D15" s="11">
        <v>0</v>
      </c>
      <c r="E15" s="11">
        <v>0</v>
      </c>
      <c r="F15" s="11">
        <v>2</v>
      </c>
      <c r="G15" s="11">
        <v>43</v>
      </c>
      <c r="H15" s="11">
        <v>15</v>
      </c>
      <c r="I15" s="11">
        <v>6</v>
      </c>
      <c r="J15" s="11">
        <v>1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8">
        <v>67</v>
      </c>
      <c r="Q15" s="8">
        <v>5</v>
      </c>
      <c r="R15" s="9">
        <v>7.46</v>
      </c>
      <c r="S15" s="10">
        <v>10</v>
      </c>
      <c r="T15" s="10">
        <v>9.1999999999999993</v>
      </c>
      <c r="U15" s="8">
        <v>0</v>
      </c>
      <c r="V15" s="9">
        <v>0</v>
      </c>
      <c r="W15" s="9">
        <f>Tabela1[[#This Row],[Liczba Deali z projektów]]/Tabela1[[#This Row],[Liczba projektów]]</f>
        <v>0</v>
      </c>
      <c r="X15" s="9">
        <v>0</v>
      </c>
    </row>
    <row r="16" spans="1:24" x14ac:dyDescent="0.35">
      <c r="A16" s="8" t="s">
        <v>28</v>
      </c>
      <c r="B16" s="8" t="s">
        <v>34</v>
      </c>
      <c r="C16" s="8" t="s">
        <v>77</v>
      </c>
      <c r="D16" s="11">
        <v>0</v>
      </c>
      <c r="E16" s="11">
        <v>0</v>
      </c>
      <c r="F16" s="11">
        <v>0</v>
      </c>
      <c r="G16" s="11">
        <v>8</v>
      </c>
      <c r="H16" s="11">
        <v>3</v>
      </c>
      <c r="I16" s="11">
        <v>1</v>
      </c>
      <c r="J16" s="11">
        <v>4</v>
      </c>
      <c r="K16" s="11">
        <v>1</v>
      </c>
      <c r="L16" s="11">
        <v>1</v>
      </c>
      <c r="M16" s="11">
        <v>0</v>
      </c>
      <c r="N16" s="11">
        <v>11</v>
      </c>
      <c r="O16" s="11">
        <v>8</v>
      </c>
      <c r="P16" s="8">
        <v>37</v>
      </c>
      <c r="Q16" s="8">
        <v>1</v>
      </c>
      <c r="R16" s="9">
        <v>2.7</v>
      </c>
      <c r="S16" s="10">
        <v>30</v>
      </c>
      <c r="T16" s="10">
        <v>38</v>
      </c>
      <c r="U16" s="8">
        <v>0</v>
      </c>
      <c r="V16" s="9">
        <v>0</v>
      </c>
      <c r="W16" s="9">
        <f>Tabela1[[#This Row],[Liczba Deali z projektów]]/Tabela1[[#This Row],[Liczba projektów]]</f>
        <v>0</v>
      </c>
      <c r="X16" s="9">
        <v>0</v>
      </c>
    </row>
    <row r="17" spans="1:24" x14ac:dyDescent="0.35">
      <c r="A17" s="8" t="s">
        <v>28</v>
      </c>
      <c r="B17" s="8" t="s">
        <v>34</v>
      </c>
      <c r="C17" s="8" t="s">
        <v>73</v>
      </c>
      <c r="D17" s="11">
        <v>0</v>
      </c>
      <c r="E17" s="11">
        <v>0</v>
      </c>
      <c r="F17" s="11">
        <v>0</v>
      </c>
      <c r="G17" s="11">
        <v>2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8">
        <v>2</v>
      </c>
      <c r="Q17" s="8">
        <v>0</v>
      </c>
      <c r="R17" s="9">
        <v>0</v>
      </c>
      <c r="S17" s="10"/>
      <c r="T17" s="10"/>
      <c r="U17" s="8">
        <v>0</v>
      </c>
      <c r="V17" s="9">
        <v>0</v>
      </c>
      <c r="W17" s="9">
        <f>Tabela1[[#This Row],[Liczba Deali z projektów]]/Tabela1[[#This Row],[Liczba projektów]]</f>
        <v>0</v>
      </c>
      <c r="X17" s="9">
        <v>0</v>
      </c>
    </row>
    <row r="18" spans="1:24" x14ac:dyDescent="0.35">
      <c r="A18" s="8" t="s">
        <v>28</v>
      </c>
      <c r="B18" s="8" t="s">
        <v>34</v>
      </c>
      <c r="C18" s="8" t="s">
        <v>57</v>
      </c>
      <c r="D18" s="11">
        <v>0</v>
      </c>
      <c r="E18" s="11">
        <v>0</v>
      </c>
      <c r="F18" s="11">
        <v>1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8">
        <v>1</v>
      </c>
      <c r="Q18" s="8">
        <v>0</v>
      </c>
      <c r="R18" s="9">
        <v>0</v>
      </c>
      <c r="S18" s="10"/>
      <c r="T18" s="10"/>
      <c r="U18" s="8">
        <v>0</v>
      </c>
      <c r="V18" s="9">
        <v>0</v>
      </c>
      <c r="W18" s="9">
        <f>Tabela1[[#This Row],[Liczba Deali z projektów]]/Tabela1[[#This Row],[Liczba projektów]]</f>
        <v>0</v>
      </c>
      <c r="X18" s="9">
        <v>0</v>
      </c>
    </row>
    <row r="19" spans="1:24" x14ac:dyDescent="0.35">
      <c r="A19" s="8" t="s">
        <v>28</v>
      </c>
      <c r="B19" s="8" t="s">
        <v>34</v>
      </c>
      <c r="C19" s="8" t="s">
        <v>58</v>
      </c>
      <c r="D19" s="11">
        <v>0</v>
      </c>
      <c r="E19" s="11">
        <v>0</v>
      </c>
      <c r="F19" s="11">
        <v>1</v>
      </c>
      <c r="G19" s="11">
        <v>1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8">
        <v>2</v>
      </c>
      <c r="Q19" s="8">
        <v>1</v>
      </c>
      <c r="R19" s="9">
        <v>50</v>
      </c>
      <c r="S19" s="10">
        <v>6</v>
      </c>
      <c r="T19" s="10">
        <v>6</v>
      </c>
      <c r="U19" s="8">
        <v>0</v>
      </c>
      <c r="V19" s="9">
        <v>0</v>
      </c>
      <c r="W19" s="9">
        <f>Tabela1[[#This Row],[Liczba Deali z projektów]]/Tabela1[[#This Row],[Liczba projektów]]</f>
        <v>0</v>
      </c>
      <c r="X19" s="9">
        <v>0</v>
      </c>
    </row>
    <row r="20" spans="1:24" x14ac:dyDescent="0.35">
      <c r="A20" s="8" t="s">
        <v>28</v>
      </c>
      <c r="B20" s="8" t="s">
        <v>34</v>
      </c>
      <c r="C20" s="8" t="s">
        <v>102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6</v>
      </c>
      <c r="N20" s="11">
        <v>0</v>
      </c>
      <c r="O20" s="11">
        <v>0</v>
      </c>
      <c r="P20" s="8">
        <v>6</v>
      </c>
      <c r="Q20" s="8">
        <v>0</v>
      </c>
      <c r="R20" s="9">
        <v>0</v>
      </c>
      <c r="S20" s="10"/>
      <c r="T20" s="10"/>
      <c r="U20" s="8">
        <v>0</v>
      </c>
      <c r="V20" s="9">
        <v>0</v>
      </c>
      <c r="W20" s="9">
        <f>Tabela1[[#This Row],[Liczba Deali z projektów]]/Tabela1[[#This Row],[Liczba projektów]]</f>
        <v>0</v>
      </c>
      <c r="X20" s="9">
        <v>0</v>
      </c>
    </row>
    <row r="21" spans="1:24" x14ac:dyDescent="0.35">
      <c r="A21" s="8" t="s">
        <v>28</v>
      </c>
      <c r="B21" s="8" t="s">
        <v>34</v>
      </c>
      <c r="C21" s="8" t="s">
        <v>85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8</v>
      </c>
      <c r="J21" s="11">
        <v>11</v>
      </c>
      <c r="K21" s="11">
        <v>4</v>
      </c>
      <c r="L21" s="11">
        <v>1</v>
      </c>
      <c r="M21" s="11">
        <v>2</v>
      </c>
      <c r="N21" s="11">
        <v>4</v>
      </c>
      <c r="O21" s="11">
        <v>2</v>
      </c>
      <c r="P21" s="8">
        <v>32</v>
      </c>
      <c r="Q21" s="8">
        <v>0</v>
      </c>
      <c r="R21" s="9">
        <v>0</v>
      </c>
      <c r="S21" s="10">
        <v>4.5</v>
      </c>
      <c r="T21" s="10">
        <v>4.5</v>
      </c>
      <c r="U21" s="8">
        <v>0</v>
      </c>
      <c r="V21" s="9">
        <v>0</v>
      </c>
      <c r="W21" s="9">
        <f>Tabela1[[#This Row],[Liczba Deali z projektów]]/Tabela1[[#This Row],[Liczba projektów]]</f>
        <v>0</v>
      </c>
      <c r="X21" s="9">
        <v>0</v>
      </c>
    </row>
    <row r="22" spans="1:24" x14ac:dyDescent="0.35">
      <c r="A22" s="8" t="s">
        <v>28</v>
      </c>
      <c r="B22" s="8" t="s">
        <v>34</v>
      </c>
      <c r="C22" s="8" t="s">
        <v>110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8">
        <v>1</v>
      </c>
      <c r="Q22" s="8">
        <v>0</v>
      </c>
      <c r="R22" s="9">
        <v>0</v>
      </c>
      <c r="S22" s="10"/>
      <c r="T22" s="10"/>
      <c r="U22" s="8">
        <v>0</v>
      </c>
      <c r="V22" s="9">
        <v>0</v>
      </c>
      <c r="W22" s="9">
        <f>Tabela1[[#This Row],[Liczba Deali z projektów]]/Tabela1[[#This Row],[Liczba projektów]]</f>
        <v>0</v>
      </c>
      <c r="X22" s="9">
        <v>0</v>
      </c>
    </row>
    <row r="23" spans="1:24" x14ac:dyDescent="0.35">
      <c r="A23" s="8" t="s">
        <v>28</v>
      </c>
      <c r="B23" s="8" t="s">
        <v>34</v>
      </c>
      <c r="C23" s="8" t="s">
        <v>48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8">
        <v>1</v>
      </c>
      <c r="Q23" s="8">
        <v>1</v>
      </c>
      <c r="R23" s="9">
        <v>100</v>
      </c>
      <c r="S23" s="10">
        <v>3</v>
      </c>
      <c r="T23" s="10">
        <v>3</v>
      </c>
      <c r="U23" s="8">
        <v>0</v>
      </c>
      <c r="V23" s="9">
        <v>0</v>
      </c>
      <c r="W23" s="9">
        <f>Tabela1[[#This Row],[Liczba Deali z projektów]]/Tabela1[[#This Row],[Liczba projektów]]</f>
        <v>0</v>
      </c>
      <c r="X23" s="9">
        <v>0</v>
      </c>
    </row>
    <row r="24" spans="1:24" x14ac:dyDescent="0.35">
      <c r="A24" s="8" t="s">
        <v>28</v>
      </c>
      <c r="B24" s="8" t="s">
        <v>34</v>
      </c>
      <c r="C24" s="8" t="s">
        <v>59</v>
      </c>
      <c r="D24" s="11">
        <v>0</v>
      </c>
      <c r="E24" s="11">
        <v>0</v>
      </c>
      <c r="F24" s="11">
        <v>2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8">
        <v>2</v>
      </c>
      <c r="Q24" s="8">
        <v>0</v>
      </c>
      <c r="R24" s="9">
        <v>0</v>
      </c>
      <c r="S24" s="10"/>
      <c r="T24" s="10"/>
      <c r="U24" s="8">
        <v>0</v>
      </c>
      <c r="V24" s="9">
        <v>0</v>
      </c>
      <c r="W24" s="9">
        <f>Tabela1[[#This Row],[Liczba Deali z projektów]]/Tabela1[[#This Row],[Liczba projektów]]</f>
        <v>0</v>
      </c>
      <c r="X24" s="9">
        <v>0</v>
      </c>
    </row>
    <row r="25" spans="1:24" x14ac:dyDescent="0.35">
      <c r="A25" s="8" t="s">
        <v>28</v>
      </c>
      <c r="B25" s="8" t="s">
        <v>34</v>
      </c>
      <c r="C25" s="8" t="s">
        <v>60</v>
      </c>
      <c r="D25" s="11">
        <v>0</v>
      </c>
      <c r="E25" s="11">
        <v>0</v>
      </c>
      <c r="F25" s="11">
        <v>1</v>
      </c>
      <c r="G25" s="11">
        <v>0</v>
      </c>
      <c r="H25" s="11">
        <v>1</v>
      </c>
      <c r="I25" s="11">
        <v>1</v>
      </c>
      <c r="J25" s="11">
        <v>0</v>
      </c>
      <c r="K25" s="11">
        <v>0</v>
      </c>
      <c r="L25" s="11">
        <v>1</v>
      </c>
      <c r="M25" s="11">
        <v>2</v>
      </c>
      <c r="N25" s="11">
        <v>0</v>
      </c>
      <c r="O25" s="11">
        <v>0</v>
      </c>
      <c r="P25" s="8">
        <v>6</v>
      </c>
      <c r="Q25" s="8">
        <v>1</v>
      </c>
      <c r="R25" s="9">
        <v>16.670000000000002</v>
      </c>
      <c r="S25" s="10">
        <v>13</v>
      </c>
      <c r="T25" s="10">
        <v>13</v>
      </c>
      <c r="U25" s="8">
        <v>0</v>
      </c>
      <c r="V25" s="9">
        <v>0</v>
      </c>
      <c r="W25" s="9">
        <f>Tabela1[[#This Row],[Liczba Deali z projektów]]/Tabela1[[#This Row],[Liczba projektów]]</f>
        <v>0</v>
      </c>
      <c r="X25" s="9">
        <v>0</v>
      </c>
    </row>
    <row r="26" spans="1:24" x14ac:dyDescent="0.35">
      <c r="A26" s="8" t="s">
        <v>28</v>
      </c>
      <c r="B26" s="8" t="s">
        <v>34</v>
      </c>
      <c r="C26" s="8" t="s">
        <v>35</v>
      </c>
      <c r="D26" s="11">
        <v>1</v>
      </c>
      <c r="E26" s="11">
        <v>3</v>
      </c>
      <c r="F26" s="11">
        <v>4</v>
      </c>
      <c r="G26" s="11">
        <v>3</v>
      </c>
      <c r="H26" s="11">
        <v>4</v>
      </c>
      <c r="I26" s="11">
        <v>6</v>
      </c>
      <c r="J26" s="11">
        <v>11</v>
      </c>
      <c r="K26" s="11">
        <v>10</v>
      </c>
      <c r="L26" s="11">
        <v>10</v>
      </c>
      <c r="M26" s="11">
        <v>8</v>
      </c>
      <c r="N26" s="11">
        <v>3</v>
      </c>
      <c r="O26" s="11">
        <v>2</v>
      </c>
      <c r="P26" s="8">
        <v>65</v>
      </c>
      <c r="Q26" s="8">
        <v>6</v>
      </c>
      <c r="R26" s="9">
        <v>9.23</v>
      </c>
      <c r="S26" s="10">
        <v>0.5</v>
      </c>
      <c r="T26" s="10">
        <v>6.83</v>
      </c>
      <c r="U26" s="8">
        <v>0</v>
      </c>
      <c r="V26" s="9">
        <v>0</v>
      </c>
      <c r="W26" s="9">
        <f>Tabela1[[#This Row],[Liczba Deali z projektów]]/Tabela1[[#This Row],[Liczba projektów]]</f>
        <v>0</v>
      </c>
      <c r="X26" s="9">
        <v>0</v>
      </c>
    </row>
    <row r="27" spans="1:24" x14ac:dyDescent="0.35">
      <c r="A27" s="8" t="s">
        <v>28</v>
      </c>
      <c r="B27" s="8" t="s">
        <v>34</v>
      </c>
      <c r="C27" s="8" t="s">
        <v>106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1</v>
      </c>
      <c r="O27" s="11">
        <v>0</v>
      </c>
      <c r="P27" s="8">
        <v>1</v>
      </c>
      <c r="Q27" s="8">
        <v>0</v>
      </c>
      <c r="R27" s="9">
        <v>0</v>
      </c>
      <c r="S27" s="10"/>
      <c r="T27" s="10"/>
      <c r="U27" s="8">
        <v>0</v>
      </c>
      <c r="V27" s="9">
        <v>0</v>
      </c>
      <c r="W27" s="9">
        <f>Tabela1[[#This Row],[Liczba Deali z projektów]]/Tabela1[[#This Row],[Liczba projektów]]</f>
        <v>0</v>
      </c>
      <c r="X27" s="9">
        <v>0</v>
      </c>
    </row>
    <row r="28" spans="1:24" x14ac:dyDescent="0.35">
      <c r="A28" s="8" t="s">
        <v>28</v>
      </c>
      <c r="B28" s="8" t="s">
        <v>34</v>
      </c>
      <c r="C28" s="8" t="s">
        <v>34</v>
      </c>
      <c r="D28" s="11">
        <v>8</v>
      </c>
      <c r="E28" s="11">
        <v>0</v>
      </c>
      <c r="F28" s="11">
        <v>0</v>
      </c>
      <c r="G28" s="11">
        <v>2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1</v>
      </c>
      <c r="N28" s="11">
        <v>2</v>
      </c>
      <c r="O28" s="11">
        <v>2</v>
      </c>
      <c r="P28" s="8">
        <v>15</v>
      </c>
      <c r="Q28" s="8">
        <v>10</v>
      </c>
      <c r="R28" s="9">
        <v>66.67</v>
      </c>
      <c r="S28" s="10">
        <v>6.5</v>
      </c>
      <c r="T28" s="10">
        <v>6.83</v>
      </c>
      <c r="U28" s="8">
        <v>4</v>
      </c>
      <c r="V28" s="9">
        <v>26.67</v>
      </c>
      <c r="W28" s="9">
        <f>Tabela1[[#This Row],[Liczba Deali z projektów]]/Tabela1[[#This Row],[Liczba projektów]]</f>
        <v>0.26666666666666666</v>
      </c>
      <c r="X28" s="9">
        <v>0</v>
      </c>
    </row>
    <row r="29" spans="1:24" x14ac:dyDescent="0.35">
      <c r="A29" s="8" t="s">
        <v>28</v>
      </c>
      <c r="B29" s="8" t="s">
        <v>34</v>
      </c>
      <c r="C29" s="8" t="s">
        <v>49</v>
      </c>
      <c r="D29" s="11">
        <v>0</v>
      </c>
      <c r="E29" s="11">
        <v>15</v>
      </c>
      <c r="F29" s="11">
        <v>8</v>
      </c>
      <c r="G29" s="11">
        <v>10</v>
      </c>
      <c r="H29" s="11">
        <v>3</v>
      </c>
      <c r="I29" s="11">
        <v>8</v>
      </c>
      <c r="J29" s="11">
        <v>14</v>
      </c>
      <c r="K29" s="11">
        <v>9</v>
      </c>
      <c r="L29" s="11">
        <v>8</v>
      </c>
      <c r="M29" s="11">
        <v>10</v>
      </c>
      <c r="N29" s="11">
        <v>11</v>
      </c>
      <c r="O29" s="11">
        <v>9</v>
      </c>
      <c r="P29" s="8">
        <v>105</v>
      </c>
      <c r="Q29" s="8">
        <v>11</v>
      </c>
      <c r="R29" s="9">
        <v>10.48</v>
      </c>
      <c r="S29" s="10">
        <v>3</v>
      </c>
      <c r="T29" s="10">
        <v>4.25</v>
      </c>
      <c r="U29" s="8">
        <v>2</v>
      </c>
      <c r="V29" s="9">
        <v>1.9</v>
      </c>
      <c r="W29" s="9">
        <f>Tabela1[[#This Row],[Liczba Deali z projektów]]/Tabela1[[#This Row],[Liczba projektów]]</f>
        <v>1.9047619047619049E-2</v>
      </c>
      <c r="X29" s="9">
        <v>50</v>
      </c>
    </row>
    <row r="30" spans="1:24" x14ac:dyDescent="0.35">
      <c r="A30" s="8" t="s">
        <v>28</v>
      </c>
      <c r="B30" s="8" t="s">
        <v>34</v>
      </c>
      <c r="C30" s="8" t="s">
        <v>61</v>
      </c>
      <c r="D30" s="11">
        <v>0</v>
      </c>
      <c r="E30" s="11">
        <v>0</v>
      </c>
      <c r="F30" s="11">
        <v>1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8">
        <v>1</v>
      </c>
      <c r="Q30" s="8">
        <v>0</v>
      </c>
      <c r="R30" s="9">
        <v>0</v>
      </c>
      <c r="S30" s="10"/>
      <c r="T30" s="10"/>
      <c r="U30" s="8">
        <v>0</v>
      </c>
      <c r="V30" s="9">
        <v>0</v>
      </c>
      <c r="W30" s="9">
        <f>Tabela1[[#This Row],[Liczba Deali z projektów]]/Tabela1[[#This Row],[Liczba projektów]]</f>
        <v>0</v>
      </c>
      <c r="X30" s="9">
        <v>0</v>
      </c>
    </row>
    <row r="31" spans="1:24" x14ac:dyDescent="0.35">
      <c r="A31" s="8" t="s">
        <v>28</v>
      </c>
      <c r="B31" s="8" t="s">
        <v>37</v>
      </c>
      <c r="C31" s="8" t="s">
        <v>37</v>
      </c>
      <c r="D31" s="11">
        <v>1</v>
      </c>
      <c r="E31" s="11">
        <v>0</v>
      </c>
      <c r="F31" s="11">
        <v>2</v>
      </c>
      <c r="G31" s="11">
        <v>0</v>
      </c>
      <c r="H31" s="11">
        <v>0</v>
      </c>
      <c r="I31" s="11">
        <v>1</v>
      </c>
      <c r="J31" s="11">
        <v>0</v>
      </c>
      <c r="K31" s="11">
        <v>0</v>
      </c>
      <c r="L31" s="11">
        <v>1</v>
      </c>
      <c r="M31" s="11">
        <v>1</v>
      </c>
      <c r="N31" s="11">
        <v>0</v>
      </c>
      <c r="O31" s="11">
        <v>0</v>
      </c>
      <c r="P31" s="8">
        <v>6</v>
      </c>
      <c r="Q31" s="8">
        <v>4</v>
      </c>
      <c r="R31" s="9">
        <v>66.67</v>
      </c>
      <c r="S31" s="10">
        <v>4</v>
      </c>
      <c r="T31" s="10">
        <v>4</v>
      </c>
      <c r="U31" s="8">
        <v>1</v>
      </c>
      <c r="V31" s="9">
        <v>16.670000000000002</v>
      </c>
      <c r="W31" s="9">
        <f>Tabela1[[#This Row],[Liczba Deali z projektów]]/Tabela1[[#This Row],[Liczba projektów]]</f>
        <v>0.16666666666666666</v>
      </c>
      <c r="X31" s="9">
        <v>0</v>
      </c>
    </row>
    <row r="32" spans="1:24" x14ac:dyDescent="0.35">
      <c r="A32" s="8" t="s">
        <v>28</v>
      </c>
      <c r="B32" s="8" t="s">
        <v>112</v>
      </c>
      <c r="C32" s="8" t="s">
        <v>112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8">
        <v>1</v>
      </c>
      <c r="Q32" s="8">
        <v>0</v>
      </c>
      <c r="R32" s="9">
        <v>0</v>
      </c>
      <c r="S32" s="10">
        <v>3</v>
      </c>
      <c r="T32" s="10">
        <v>3</v>
      </c>
      <c r="U32" s="8">
        <v>0</v>
      </c>
      <c r="V32" s="9">
        <v>0</v>
      </c>
      <c r="W32" s="9">
        <f>Tabela1[[#This Row],[Liczba Deali z projektów]]/Tabela1[[#This Row],[Liczba projektów]]</f>
        <v>0</v>
      </c>
      <c r="X32" s="9">
        <v>0</v>
      </c>
    </row>
    <row r="33" spans="1:24" x14ac:dyDescent="0.35">
      <c r="A33" s="8" t="s">
        <v>28</v>
      </c>
      <c r="B33" s="8" t="s">
        <v>51</v>
      </c>
      <c r="C33" s="8" t="s">
        <v>51</v>
      </c>
      <c r="D33" s="11">
        <v>0</v>
      </c>
      <c r="E33" s="11">
        <v>1</v>
      </c>
      <c r="F33" s="11">
        <v>1</v>
      </c>
      <c r="G33" s="11">
        <v>2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8">
        <v>4</v>
      </c>
      <c r="Q33" s="8">
        <v>0</v>
      </c>
      <c r="R33" s="9">
        <v>0</v>
      </c>
      <c r="S33" s="10"/>
      <c r="T33" s="10"/>
      <c r="U33" s="8">
        <v>0</v>
      </c>
      <c r="V33" s="9">
        <v>0</v>
      </c>
      <c r="W33" s="9">
        <f>Tabela1[[#This Row],[Liczba Deali z projektów]]/Tabela1[[#This Row],[Liczba projektów]]</f>
        <v>0</v>
      </c>
      <c r="X33" s="9">
        <v>0</v>
      </c>
    </row>
    <row r="34" spans="1:24" x14ac:dyDescent="0.35">
      <c r="A34" s="8" t="s">
        <v>28</v>
      </c>
      <c r="B34" s="8" t="s">
        <v>63</v>
      </c>
      <c r="C34" s="8" t="s">
        <v>64</v>
      </c>
      <c r="D34" s="11">
        <v>0</v>
      </c>
      <c r="E34" s="11">
        <v>0</v>
      </c>
      <c r="F34" s="11">
        <v>2</v>
      </c>
      <c r="G34" s="11">
        <v>2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8">
        <v>4</v>
      </c>
      <c r="Q34" s="8">
        <v>2</v>
      </c>
      <c r="R34" s="9">
        <v>50</v>
      </c>
      <c r="S34" s="10">
        <v>43.5</v>
      </c>
      <c r="T34" s="10">
        <v>43.5</v>
      </c>
      <c r="U34" s="8">
        <v>0</v>
      </c>
      <c r="V34" s="9">
        <v>0</v>
      </c>
      <c r="W34" s="9">
        <f>Tabela1[[#This Row],[Liczba Deali z projektów]]/Tabela1[[#This Row],[Liczba projektów]]</f>
        <v>0</v>
      </c>
      <c r="X34" s="9">
        <v>0</v>
      </c>
    </row>
    <row r="35" spans="1:24" x14ac:dyDescent="0.35">
      <c r="A35" s="8" t="s">
        <v>28</v>
      </c>
      <c r="B35" s="8" t="s">
        <v>63</v>
      </c>
      <c r="C35" s="8" t="s">
        <v>65</v>
      </c>
      <c r="D35" s="11">
        <v>0</v>
      </c>
      <c r="E35" s="11">
        <v>0</v>
      </c>
      <c r="F35" s="11">
        <v>1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8">
        <v>1</v>
      </c>
      <c r="Q35" s="8">
        <v>1</v>
      </c>
      <c r="R35" s="9">
        <v>100</v>
      </c>
      <c r="S35" s="10">
        <v>12</v>
      </c>
      <c r="T35" s="10">
        <v>12</v>
      </c>
      <c r="U35" s="8">
        <v>0</v>
      </c>
      <c r="V35" s="9">
        <v>0</v>
      </c>
      <c r="W35" s="9">
        <f>Tabela1[[#This Row],[Liczba Deali z projektów]]/Tabela1[[#This Row],[Liczba projektów]]</f>
        <v>0</v>
      </c>
      <c r="X35" s="9">
        <v>0</v>
      </c>
    </row>
    <row r="36" spans="1:24" x14ac:dyDescent="0.35">
      <c r="A36" s="8" t="s">
        <v>28</v>
      </c>
      <c r="B36" s="8" t="s">
        <v>63</v>
      </c>
      <c r="C36" s="8" t="s">
        <v>86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1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8">
        <v>1</v>
      </c>
      <c r="Q36" s="8">
        <v>1</v>
      </c>
      <c r="R36" s="9">
        <v>100</v>
      </c>
      <c r="S36" s="10">
        <v>15</v>
      </c>
      <c r="T36" s="10">
        <v>15</v>
      </c>
      <c r="U36" s="8">
        <v>0</v>
      </c>
      <c r="V36" s="9">
        <v>0</v>
      </c>
      <c r="W36" s="9">
        <f>Tabela1[[#This Row],[Liczba Deali z projektów]]/Tabela1[[#This Row],[Liczba projektów]]</f>
        <v>0</v>
      </c>
      <c r="X36" s="9">
        <v>0</v>
      </c>
    </row>
    <row r="37" spans="1:24" x14ac:dyDescent="0.35">
      <c r="A37" s="8" t="s">
        <v>28</v>
      </c>
      <c r="B37" s="8" t="s">
        <v>63</v>
      </c>
      <c r="C37" s="8" t="s">
        <v>66</v>
      </c>
      <c r="D37" s="11">
        <v>0</v>
      </c>
      <c r="E37" s="11">
        <v>0</v>
      </c>
      <c r="F37" s="11">
        <v>1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8">
        <v>1</v>
      </c>
      <c r="Q37" s="8">
        <v>0</v>
      </c>
      <c r="R37" s="9">
        <v>0</v>
      </c>
      <c r="S37" s="10"/>
      <c r="T37" s="10"/>
      <c r="U37" s="8">
        <v>0</v>
      </c>
      <c r="V37" s="9">
        <v>0</v>
      </c>
      <c r="W37" s="9">
        <f>Tabela1[[#This Row],[Liczba Deali z projektów]]/Tabela1[[#This Row],[Liczba projektów]]</f>
        <v>0</v>
      </c>
      <c r="X37" s="9">
        <v>0</v>
      </c>
    </row>
    <row r="38" spans="1:24" x14ac:dyDescent="0.35">
      <c r="A38" s="8" t="s">
        <v>28</v>
      </c>
      <c r="B38" s="8" t="s">
        <v>63</v>
      </c>
      <c r="C38" s="8" t="s">
        <v>91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1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8">
        <v>1</v>
      </c>
      <c r="Q38" s="8">
        <v>1</v>
      </c>
      <c r="R38" s="9">
        <v>100</v>
      </c>
      <c r="S38" s="10">
        <v>27</v>
      </c>
      <c r="T38" s="10">
        <v>27</v>
      </c>
      <c r="U38" s="8">
        <v>0</v>
      </c>
      <c r="V38" s="9">
        <v>0</v>
      </c>
      <c r="W38" s="9">
        <f>Tabela1[[#This Row],[Liczba Deali z projektów]]/Tabela1[[#This Row],[Liczba projektów]]</f>
        <v>0</v>
      </c>
      <c r="X38" s="9">
        <v>0</v>
      </c>
    </row>
    <row r="39" spans="1:24" x14ac:dyDescent="0.35">
      <c r="A39" s="8" t="s">
        <v>28</v>
      </c>
      <c r="B39" s="8" t="s">
        <v>44</v>
      </c>
      <c r="C39" s="8" t="s">
        <v>44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5</v>
      </c>
      <c r="O39" s="11">
        <v>2</v>
      </c>
      <c r="P39" s="8">
        <v>7</v>
      </c>
      <c r="Q39" s="8">
        <v>0</v>
      </c>
      <c r="R39" s="9">
        <v>0</v>
      </c>
      <c r="S39" s="10"/>
      <c r="T39" s="10"/>
      <c r="U39" s="8">
        <v>0</v>
      </c>
      <c r="V39" s="9">
        <v>0</v>
      </c>
      <c r="W39" s="9">
        <f>Tabela1[[#This Row],[Liczba Deali z projektów]]/Tabela1[[#This Row],[Liczba projektów]]</f>
        <v>0</v>
      </c>
      <c r="X39" s="9">
        <v>0</v>
      </c>
    </row>
    <row r="40" spans="1:24" x14ac:dyDescent="0.35">
      <c r="A40" s="8" t="s">
        <v>39</v>
      </c>
      <c r="B40" s="8" t="s">
        <v>40</v>
      </c>
      <c r="C40" s="8" t="s">
        <v>40</v>
      </c>
      <c r="D40" s="11">
        <v>162</v>
      </c>
      <c r="E40" s="11">
        <v>177</v>
      </c>
      <c r="F40" s="11">
        <v>150</v>
      </c>
      <c r="G40" s="11">
        <v>430</v>
      </c>
      <c r="H40" s="11">
        <v>344</v>
      </c>
      <c r="I40" s="11">
        <v>78</v>
      </c>
      <c r="J40" s="11">
        <v>31</v>
      </c>
      <c r="K40" s="11">
        <v>5</v>
      </c>
      <c r="L40" s="11">
        <v>19</v>
      </c>
      <c r="M40" s="11">
        <v>16</v>
      </c>
      <c r="N40" s="11">
        <v>27</v>
      </c>
      <c r="O40" s="11">
        <v>31</v>
      </c>
      <c r="P40" s="8">
        <v>1470</v>
      </c>
      <c r="Q40" s="8">
        <v>115</v>
      </c>
      <c r="R40" s="9">
        <v>7.82</v>
      </c>
      <c r="S40" s="10">
        <v>14</v>
      </c>
      <c r="T40" s="10">
        <v>39.79</v>
      </c>
      <c r="U40" s="8">
        <v>15</v>
      </c>
      <c r="V40" s="9">
        <v>1.02</v>
      </c>
      <c r="W40" s="9">
        <f>Tabela1[[#This Row],[Liczba Deali z projektów]]/Tabela1[[#This Row],[Liczba projektów]]</f>
        <v>1.020408163265306E-2</v>
      </c>
      <c r="X40" s="9">
        <v>13.33</v>
      </c>
    </row>
    <row r="41" spans="1:24" x14ac:dyDescent="0.35">
      <c r="A41" s="8" t="s">
        <v>39</v>
      </c>
      <c r="B41" s="8" t="s">
        <v>114</v>
      </c>
      <c r="C41" s="8" t="s">
        <v>114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1</v>
      </c>
      <c r="P41" s="8">
        <v>1</v>
      </c>
      <c r="Q41" s="8">
        <v>0</v>
      </c>
      <c r="R41" s="9">
        <v>0</v>
      </c>
      <c r="S41" s="10"/>
      <c r="T41" s="10"/>
      <c r="U41" s="8">
        <v>0</v>
      </c>
      <c r="V41" s="9">
        <v>0</v>
      </c>
      <c r="W41" s="9">
        <f>Tabela1[[#This Row],[Liczba Deali z projektów]]/Tabela1[[#This Row],[Liczba projektów]]</f>
        <v>0</v>
      </c>
      <c r="X41" s="9">
        <v>0</v>
      </c>
    </row>
    <row r="42" spans="1:24" x14ac:dyDescent="0.35">
      <c r="A42" s="8" t="s">
        <v>39</v>
      </c>
      <c r="B42" s="8" t="s">
        <v>68</v>
      </c>
      <c r="C42" s="8" t="s">
        <v>68</v>
      </c>
      <c r="D42" s="11">
        <v>0</v>
      </c>
      <c r="E42" s="11">
        <v>0</v>
      </c>
      <c r="F42" s="11">
        <v>1</v>
      </c>
      <c r="G42" s="11">
        <v>5</v>
      </c>
      <c r="H42" s="11">
        <v>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8">
        <v>8</v>
      </c>
      <c r="Q42" s="8">
        <v>3</v>
      </c>
      <c r="R42" s="9">
        <v>37.5</v>
      </c>
      <c r="S42" s="10">
        <v>9</v>
      </c>
      <c r="T42" s="10">
        <v>33.33</v>
      </c>
      <c r="U42" s="8">
        <v>0</v>
      </c>
      <c r="V42" s="9">
        <v>0</v>
      </c>
      <c r="W42" s="9">
        <f>Tabela1[[#This Row],[Liczba Deali z projektów]]/Tabela1[[#This Row],[Liczba projektów]]</f>
        <v>0</v>
      </c>
      <c r="X42" s="9">
        <v>0</v>
      </c>
    </row>
    <row r="43" spans="1:24" x14ac:dyDescent="0.35">
      <c r="A43" s="8" t="s">
        <v>39</v>
      </c>
      <c r="B43" s="8" t="s">
        <v>72</v>
      </c>
      <c r="C43" s="8" t="s">
        <v>72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8">
        <v>1</v>
      </c>
      <c r="Q43" s="8">
        <v>0</v>
      </c>
      <c r="R43" s="9">
        <v>0</v>
      </c>
      <c r="S43" s="10"/>
      <c r="T43" s="10"/>
      <c r="U43" s="8">
        <v>0</v>
      </c>
      <c r="V43" s="9">
        <v>0</v>
      </c>
      <c r="W43" s="9">
        <f>Tabela1[[#This Row],[Liczba Deali z projektów]]/Tabela1[[#This Row],[Liczba projektów]]</f>
        <v>0</v>
      </c>
      <c r="X43" s="9">
        <v>0</v>
      </c>
    </row>
    <row r="44" spans="1:24" x14ac:dyDescent="0.35">
      <c r="A44" s="8" t="s">
        <v>39</v>
      </c>
      <c r="B44" s="8" t="s">
        <v>82</v>
      </c>
      <c r="C44" s="8" t="s">
        <v>82</v>
      </c>
      <c r="D44" s="11">
        <v>0</v>
      </c>
      <c r="E44" s="11">
        <v>0</v>
      </c>
      <c r="F44" s="11">
        <v>0</v>
      </c>
      <c r="G44" s="11">
        <v>0</v>
      </c>
      <c r="H44" s="11">
        <v>2</v>
      </c>
      <c r="I44" s="11">
        <v>1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8">
        <v>3</v>
      </c>
      <c r="Q44" s="8">
        <v>1</v>
      </c>
      <c r="R44" s="9">
        <v>33.33</v>
      </c>
      <c r="S44" s="10">
        <v>19.5</v>
      </c>
      <c r="T44" s="10">
        <v>19.5</v>
      </c>
      <c r="U44" s="8">
        <v>0</v>
      </c>
      <c r="V44" s="9">
        <v>0</v>
      </c>
      <c r="W44" s="9">
        <f>Tabela1[[#This Row],[Liczba Deali z projektów]]/Tabela1[[#This Row],[Liczba projektów]]</f>
        <v>0</v>
      </c>
      <c r="X44" s="9">
        <v>0</v>
      </c>
    </row>
    <row r="45" spans="1:24" x14ac:dyDescent="0.35">
      <c r="A45" s="8" t="s">
        <v>39</v>
      </c>
      <c r="B45" s="8" t="s">
        <v>42</v>
      </c>
      <c r="C45" s="8" t="s">
        <v>42</v>
      </c>
      <c r="D45" s="11">
        <v>7</v>
      </c>
      <c r="E45" s="11">
        <v>14</v>
      </c>
      <c r="F45" s="11">
        <v>2</v>
      </c>
      <c r="G45" s="11">
        <v>4</v>
      </c>
      <c r="H45" s="11">
        <v>3</v>
      </c>
      <c r="I45" s="11">
        <v>3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8">
        <v>37</v>
      </c>
      <c r="Q45" s="8">
        <v>10</v>
      </c>
      <c r="R45" s="9">
        <v>27.03</v>
      </c>
      <c r="S45" s="10">
        <v>15</v>
      </c>
      <c r="T45" s="10">
        <v>45.69</v>
      </c>
      <c r="U45" s="8">
        <v>4</v>
      </c>
      <c r="V45" s="9">
        <v>10.81</v>
      </c>
      <c r="W45" s="9">
        <f>Tabela1[[#This Row],[Liczba Deali z projektów]]/Tabela1[[#This Row],[Liczba projektów]]</f>
        <v>0.10810810810810811</v>
      </c>
      <c r="X45" s="9">
        <v>0</v>
      </c>
    </row>
    <row r="46" spans="1:24" x14ac:dyDescent="0.35">
      <c r="A46" s="8" t="s">
        <v>39</v>
      </c>
      <c r="B46" s="8" t="s">
        <v>44</v>
      </c>
      <c r="C46" s="8" t="s">
        <v>44</v>
      </c>
      <c r="D46" s="11">
        <v>1</v>
      </c>
      <c r="E46" s="11">
        <v>1</v>
      </c>
      <c r="F46" s="11">
        <v>0</v>
      </c>
      <c r="G46" s="11">
        <v>0</v>
      </c>
      <c r="H46" s="11">
        <v>0</v>
      </c>
      <c r="I46" s="11">
        <v>7</v>
      </c>
      <c r="J46" s="11">
        <v>0</v>
      </c>
      <c r="K46" s="11">
        <v>0</v>
      </c>
      <c r="L46" s="11">
        <v>0</v>
      </c>
      <c r="M46" s="11">
        <v>1</v>
      </c>
      <c r="N46" s="11">
        <v>0</v>
      </c>
      <c r="O46" s="11">
        <v>0</v>
      </c>
      <c r="P46" s="8">
        <v>10</v>
      </c>
      <c r="Q46" s="8">
        <v>1</v>
      </c>
      <c r="R46" s="9">
        <v>10</v>
      </c>
      <c r="S46" s="10">
        <v>18</v>
      </c>
      <c r="T46" s="10">
        <v>18</v>
      </c>
      <c r="U46" s="8">
        <v>1</v>
      </c>
      <c r="V46" s="9">
        <v>10</v>
      </c>
      <c r="W46" s="9">
        <f>Tabela1[[#This Row],[Liczba Deali z projektów]]/Tabela1[[#This Row],[Liczba projektów]]</f>
        <v>0.1</v>
      </c>
      <c r="X46" s="9">
        <v>0</v>
      </c>
    </row>
    <row r="47" spans="1:24" x14ac:dyDescent="0.35">
      <c r="A47" s="8"/>
      <c r="B47" s="8"/>
      <c r="C47" s="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8">
        <f>SUM(Tabela1[Liczba projektów])</f>
        <v>3856</v>
      </c>
      <c r="Q47" s="8">
        <f>SUM(Tabela1[Liczba Meeting I])</f>
        <v>208</v>
      </c>
      <c r="R47" s="9"/>
      <c r="S47" s="10"/>
      <c r="T47" s="10"/>
      <c r="U47" s="8">
        <f>SUM(Tabela1[Liczba Deali z projektów])</f>
        <v>31</v>
      </c>
      <c r="V47" s="9"/>
      <c r="W47" s="9">
        <f>Tabela1[[#Totals],[Liczba Deali z projektów]]/Tabela1[[#Totals],[Liczba projektów]]</f>
        <v>8.0394190871369287E-3</v>
      </c>
      <c r="X47" s="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Opis</vt:lpstr>
      <vt:lpstr>Lejek_mies_zrodlo</vt:lpstr>
      <vt:lpstr>Lejek_mies_global</vt:lpstr>
      <vt:lpstr>Lejek_zrodlo_global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Ochnik</cp:lastModifiedBy>
  <dcterms:created xsi:type="dcterms:W3CDTF">2026-01-13T15:26:28Z</dcterms:created>
  <dcterms:modified xsi:type="dcterms:W3CDTF">2026-01-13T15:33:11Z</dcterms:modified>
</cp:coreProperties>
</file>