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deskpl0-my.sharepoint.com/personal/katarzyna_ochnik_medidesk_com/Documents/!Zoho/PreSales/"/>
    </mc:Choice>
  </mc:AlternateContent>
  <xr:revisionPtr revIDLastSave="3" documentId="8_{CCE72FD0-23B6-4DA4-B23D-E27D29DE6BE0}" xr6:coauthVersionLast="47" xr6:coauthVersionMax="47" xr10:uidLastSave="{BE415097-FBF4-4CFE-952C-215269291E9B}"/>
  <bookViews>
    <workbookView xWindow="12710" yWindow="0" windowWidth="25780" windowHeight="13770" activeTab="3" xr2:uid="{4426934F-7C58-4785-B87D-CEC00EBA8298}"/>
  </bookViews>
  <sheets>
    <sheet name="Szczegóły1" sheetId="5" r:id="rId1"/>
    <sheet name="Sheet3" sheetId="3" r:id="rId2"/>
    <sheet name="MLe+ Leady" sheetId="1" r:id="rId3"/>
    <sheet name="MLe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4" l="1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O22" i="4"/>
  <c r="N22" i="4"/>
  <c r="M22" i="4"/>
  <c r="L22" i="4"/>
  <c r="K22" i="4"/>
  <c r="J22" i="4"/>
  <c r="I22" i="4"/>
  <c r="H22" i="4"/>
  <c r="G22" i="4"/>
  <c r="F22" i="4"/>
  <c r="E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</calcChain>
</file>

<file path=xl/sharedStrings.xml><?xml version="1.0" encoding="utf-8"?>
<sst xmlns="http://schemas.openxmlformats.org/spreadsheetml/2006/main" count="559" uniqueCount="86">
  <si>
    <t>I tier</t>
  </si>
  <si>
    <t>II tier</t>
  </si>
  <si>
    <t>III tier</t>
  </si>
  <si>
    <t>Uwagi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</si>
  <si>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</si>
  <si>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</si>
  <si>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</si>
  <si>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</si>
  <si>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</si>
  <si>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</si>
  <si>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</si>
  <si>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</si>
  <si>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</si>
  <si>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</si>
  <si>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</si>
  <si>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Inbound</t>
  </si>
  <si>
    <t>Webinary medidesk</t>
  </si>
  <si>
    <t>20250219 - AI w służbie zdrowia</t>
  </si>
  <si>
    <t>Wszelkie Leady (włączając MLe po konwersji na Leada)</t>
  </si>
  <si>
    <t>Webinar</t>
  </si>
  <si>
    <t>MLe bez konwersji na leada</t>
  </si>
  <si>
    <t>20250319 - Jak rozwijać placówkę</t>
  </si>
  <si>
    <t>20250409 - Webinar Marafiki</t>
  </si>
  <si>
    <t>20250604 - Pozycjonowanie i social media</t>
  </si>
  <si>
    <t>20250612 - Chirurgiczny lejek online</t>
  </si>
  <si>
    <t>20250625 - Komunikacja z pokoleniem Z</t>
  </si>
  <si>
    <t>20250708 - Komunikacja z wymagającym pacjentem</t>
  </si>
  <si>
    <t>Konferencja zewnętrzna</t>
  </si>
  <si>
    <t>202510 Dolmed</t>
  </si>
  <si>
    <t>Strona internetowa medidesk</t>
  </si>
  <si>
    <t>Audyt Marketingowy 202503</t>
  </si>
  <si>
    <t>Audyt Tajemniczego Pacjenta 202503</t>
  </si>
  <si>
    <t>Partner polecający</t>
  </si>
  <si>
    <t>BIZNES BUTIK SPÓŁKA Z OGRANICZONĄ ODPOWIEDZIALNOŚCIĄ</t>
  </si>
  <si>
    <t>Outbound</t>
  </si>
  <si>
    <t>Facebook</t>
  </si>
  <si>
    <t>brak danych</t>
  </si>
  <si>
    <t>Facebook po pobraniu</t>
  </si>
  <si>
    <t>LinkedIn</t>
  </si>
  <si>
    <t>Polecenie</t>
  </si>
  <si>
    <t>Reinkarnacja</t>
  </si>
  <si>
    <t>Telefon na biuro</t>
  </si>
  <si>
    <t>Firma polecająca</t>
  </si>
  <si>
    <t>CLINICLAB SPECJALISTYCZNE BADANIA LABORATORYJNE SPÓŁKA AKCYJNA</t>
  </si>
  <si>
    <t>COMPERIA.PL SPÓŁKA AKCYJNA</t>
  </si>
  <si>
    <t>DENTAL FRATERNITY INVEST SPÓŁKA Z OGRANICZONĄ ODPOWIEDZIALNOŚCIĄ</t>
  </si>
  <si>
    <t>EBook Trudny Pacjent</t>
  </si>
  <si>
    <t>EBook Zmiany w prawie marketingu medycznego</t>
  </si>
  <si>
    <t>EBook Zyskowna przychodnia - redukcja kosztów</t>
  </si>
  <si>
    <t>Email biuro</t>
  </si>
  <si>
    <t>FB</t>
  </si>
  <si>
    <t>INSTYTUT DENTALWAY KAMIL KUCZEWSKI</t>
  </si>
  <si>
    <t>Integracja z Medfile</t>
  </si>
  <si>
    <t>Pracownik polecający</t>
  </si>
  <si>
    <t>Marek Wcisło</t>
  </si>
  <si>
    <t>Meddiesk 3.0</t>
  </si>
  <si>
    <t>MEDFILE SPÓŁKA Z OGRANICZONĄ ODPOWIEDZIALNOŚCIĄ</t>
  </si>
  <si>
    <t>Medidesk EDU audyty</t>
  </si>
  <si>
    <t>Medidesk EDU szkolenia</t>
  </si>
  <si>
    <t>Medidesk Kontakt EN</t>
  </si>
  <si>
    <t>Medidesk Kontakt PL</t>
  </si>
  <si>
    <t>Michał Modzelewski</t>
  </si>
  <si>
    <t>Polecenie Partnera</t>
  </si>
  <si>
    <t>Scrapper</t>
  </si>
  <si>
    <t>SMS Campaign</t>
  </si>
  <si>
    <t>Umów spotkanie</t>
  </si>
  <si>
    <t>Umów spotkanie FB</t>
  </si>
  <si>
    <t>Webinar Marafiki 20250409</t>
  </si>
  <si>
    <t>Akwizycja telefoniczna</t>
  </si>
  <si>
    <t>Akwizycja telefoniczna po webinarze</t>
  </si>
  <si>
    <t>Row Labels</t>
  </si>
  <si>
    <t>Grand Total</t>
  </si>
  <si>
    <t>Sum of Styczeń</t>
  </si>
  <si>
    <t>Sum of Luty</t>
  </si>
  <si>
    <t>Sum of Marzec</t>
  </si>
  <si>
    <t>Sum of Kwiecień</t>
  </si>
  <si>
    <t>Sum of Maj</t>
  </si>
  <si>
    <t>Sum of Czerwiec</t>
  </si>
  <si>
    <t>Sum of Lipiec</t>
  </si>
  <si>
    <t>Sum of Sierpień</t>
  </si>
  <si>
    <t>Sum of Wrzesień</t>
  </si>
  <si>
    <t>Sum of Październik</t>
  </si>
  <si>
    <t>OGÓŁEM</t>
  </si>
  <si>
    <t>bez leada</t>
  </si>
  <si>
    <t>z leadem</t>
  </si>
  <si>
    <t>Szczegóły Sum of Wrzesień — II tier: Akwizycja telefoniczna, I tier: Outbound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</si>
</sst>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2" xfId="0" applyBorder="1"/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 indent="1"/>
    </xf>
    <xf numFmtId="0" fontId="1" fillId="0" borderId="2" xfId="0" applyFont="1" applyBorder="1"/>
    <xf numFmtId="0" fontId="3" fillId="0" borderId="0" xfId="0" applyFont="1"/>
  </cellXfs>
  <cellStyles count="1">
    <cellStyle name="Normalny" xfId="0" builtinId="0"/>
  </cellStyles>
  <dxfs count="18"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</font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arzyna Ochnik" refreshedDate="45970.648992824077" createdVersion="8" refreshedVersion="8" minRefreshableVersion="3" recordCount="60" xr:uid="{94A225D6-7FD5-43BC-BC9E-BE09857897A9}">
  <cacheSource type="worksheet">
    <worksheetSource name="Table2456"/>
  </cacheSource>
  <cacheFields count="15">
    <cacheField name="I tier" numFmtId="0">
      <sharedItems count="2">
        <s v="Inbound"/>
        <s v="Outbound"/>
      </sharedItems>
    </cacheField>
    <cacheField name="II tier" numFmtId="0">
      <sharedItems count="16">
        <s v="Webinary medidesk"/>
        <s v="Webinar"/>
        <s v="Konferencja zewnętrzna"/>
        <s v="Strona internetowa medidesk"/>
        <s v="Partner polecający"/>
        <s v="Facebook"/>
        <s v="Facebook po pobraniu"/>
        <s v="LinkedIn"/>
        <s v="Polecenie"/>
        <s v="Reinkarnacja"/>
        <s v="Telefon na biuro"/>
        <s v="Firma polecająca"/>
        <s v="Pracownik polecający"/>
        <s v="Scrapper"/>
        <s v="Akwizycja telefoniczna"/>
        <s v="Akwizycja telefoniczna po webinarze"/>
      </sharedItems>
    </cacheField>
    <cacheField name="III tier" numFmtId="0">
      <sharedItems containsBlank="1"/>
    </cacheField>
    <cacheField name="Uwagi" numFmtId="0">
      <sharedItems containsBlank="1"/>
    </cacheField>
    <cacheField name="Styczeń" numFmtId="0">
      <sharedItems containsString="0" containsBlank="1" containsNumber="1" containsInteger="1" minValue="1" maxValue="164" count="5">
        <m/>
        <n v="9"/>
        <n v="7"/>
        <n v="1"/>
        <n v="164"/>
      </sharedItems>
    </cacheField>
    <cacheField name="Luty" numFmtId="0">
      <sharedItems containsString="0" containsBlank="1" containsNumber="1" containsInteger="1" minValue="1" maxValue="177" count="8">
        <n v="5"/>
        <n v="1"/>
        <m/>
        <n v="14"/>
        <n v="2"/>
        <n v="6"/>
        <n v="4"/>
        <n v="177"/>
      </sharedItems>
    </cacheField>
    <cacheField name="Marzec" numFmtId="0">
      <sharedItems containsString="0" containsBlank="1" containsNumber="1" containsInteger="1" minValue="1" maxValue="150" count="7">
        <m/>
        <n v="3"/>
        <n v="4"/>
        <n v="1"/>
        <n v="2"/>
        <n v="7"/>
        <n v="150"/>
      </sharedItems>
    </cacheField>
    <cacheField name="Kwiecień" numFmtId="0">
      <sharedItems containsString="0" containsBlank="1" containsNumber="1" containsInteger="1" minValue="1" maxValue="436" count="11">
        <m/>
        <n v="4"/>
        <n v="26"/>
        <n v="12"/>
        <n v="1"/>
        <n v="3"/>
        <n v="2"/>
        <n v="38"/>
        <n v="32"/>
        <n v="5"/>
        <n v="436"/>
      </sharedItems>
    </cacheField>
    <cacheField name="Maj" numFmtId="0">
      <sharedItems containsString="0" containsBlank="1" containsNumber="1" containsInteger="1" minValue="1" maxValue="345"/>
    </cacheField>
    <cacheField name="Czerwiec" numFmtId="0">
      <sharedItems containsString="0" containsBlank="1" containsNumber="1" containsInteger="1" minValue="1" maxValue="83"/>
    </cacheField>
    <cacheField name="Lipiec" numFmtId="0">
      <sharedItems containsString="0" containsBlank="1" containsNumber="1" containsInteger="1" minValue="1" maxValue="124"/>
    </cacheField>
    <cacheField name="Sierpień" numFmtId="0">
      <sharedItems containsString="0" containsBlank="1" containsNumber="1" containsInteger="1" minValue="1" maxValue="76"/>
    </cacheField>
    <cacheField name="Wrzesień" numFmtId="0">
      <sharedItems containsString="0" containsBlank="1" containsNumber="1" containsInteger="1" minValue="1" maxValue="125"/>
    </cacheField>
    <cacheField name="Październik" numFmtId="0">
      <sharedItems containsString="0" containsBlank="1" containsNumber="1" containsInteger="1" minValue="1" maxValue="355"/>
    </cacheField>
    <cacheField name="Listopad" numFmtId="0">
      <sharedItems containsString="0" containsBlank="1" containsNumber="1" containsInteger="1" minValue="1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s v="20250219 - AI w służbie zdrowia"/>
    <s v="Wszelkie Leady (włączając MLe po konwersji na Leada)"/>
    <x v="0"/>
    <x v="0"/>
    <x v="0"/>
    <x v="0"/>
    <m/>
    <m/>
    <m/>
    <m/>
    <m/>
    <m/>
    <m/>
  </r>
  <r>
    <x v="0"/>
    <x v="1"/>
    <s v="20250219 - AI w służbie zdrowia"/>
    <s v="MLe bez konwersji na leada"/>
    <x v="0"/>
    <x v="1"/>
    <x v="0"/>
    <x v="0"/>
    <m/>
    <m/>
    <m/>
    <m/>
    <m/>
    <m/>
    <m/>
  </r>
  <r>
    <x v="0"/>
    <x v="0"/>
    <s v="20250319 - Jak rozwijać placówkę"/>
    <s v="Wszelkie Leady (włączając MLe po konwersji na Leada)"/>
    <x v="0"/>
    <x v="2"/>
    <x v="1"/>
    <x v="1"/>
    <m/>
    <m/>
    <m/>
    <m/>
    <m/>
    <m/>
    <m/>
  </r>
  <r>
    <x v="0"/>
    <x v="0"/>
    <s v="20250409 - Webinar Marafiki"/>
    <s v="Wszelkie Leady (włączając MLe po konwersji na Leada)"/>
    <x v="0"/>
    <x v="2"/>
    <x v="2"/>
    <x v="1"/>
    <m/>
    <n v="1"/>
    <m/>
    <m/>
    <m/>
    <m/>
    <m/>
  </r>
  <r>
    <x v="0"/>
    <x v="0"/>
    <s v="20250604 - Pozycjonowanie i social media"/>
    <s v="Wszelkie Leady (włączając MLe po konwersji na Leada)"/>
    <x v="0"/>
    <x v="2"/>
    <x v="0"/>
    <x v="0"/>
    <m/>
    <n v="1"/>
    <m/>
    <m/>
    <m/>
    <m/>
    <m/>
  </r>
  <r>
    <x v="0"/>
    <x v="0"/>
    <s v="20250612 - Chirurgiczny lejek online"/>
    <s v="Wszelkie Leady (włączając MLe po konwersji na Leada)"/>
    <x v="0"/>
    <x v="2"/>
    <x v="3"/>
    <x v="0"/>
    <m/>
    <m/>
    <m/>
    <m/>
    <m/>
    <m/>
    <m/>
  </r>
  <r>
    <x v="0"/>
    <x v="1"/>
    <s v="20250612 - Chirurgiczny lejek online"/>
    <s v="MLe bez konwersji na leada"/>
    <x v="0"/>
    <x v="2"/>
    <x v="0"/>
    <x v="0"/>
    <m/>
    <n v="3"/>
    <m/>
    <m/>
    <m/>
    <m/>
    <m/>
  </r>
  <r>
    <x v="0"/>
    <x v="0"/>
    <s v="20250625 - Komunikacja z pokoleniem Z"/>
    <s v="Wszelkie Leady (włączając MLe po konwersji na Leada)"/>
    <x v="0"/>
    <x v="2"/>
    <x v="0"/>
    <x v="0"/>
    <m/>
    <m/>
    <n v="1"/>
    <m/>
    <m/>
    <m/>
    <m/>
  </r>
  <r>
    <x v="0"/>
    <x v="0"/>
    <s v="20250708 - Komunikacja z wymagającym pacjentem"/>
    <s v="Wszelkie Leady (włączając MLe po konwersji na Leada)"/>
    <x v="0"/>
    <x v="2"/>
    <x v="0"/>
    <x v="0"/>
    <m/>
    <m/>
    <n v="1"/>
    <m/>
    <m/>
    <m/>
    <m/>
  </r>
  <r>
    <x v="0"/>
    <x v="2"/>
    <s v="202510 Dolmed"/>
    <s v="Wszelkie Leady (włączając MLe po konwersji na Leada)"/>
    <x v="0"/>
    <x v="2"/>
    <x v="0"/>
    <x v="0"/>
    <m/>
    <m/>
    <m/>
    <m/>
    <m/>
    <n v="1"/>
    <m/>
  </r>
  <r>
    <x v="0"/>
    <x v="3"/>
    <s v="Audyt Marketingowy 202503"/>
    <s v="Wszelkie Leady (włączając MLe po konwersji na Leada)"/>
    <x v="0"/>
    <x v="2"/>
    <x v="0"/>
    <x v="2"/>
    <n v="6"/>
    <n v="4"/>
    <m/>
    <m/>
    <n v="1"/>
    <m/>
    <m/>
  </r>
  <r>
    <x v="0"/>
    <x v="3"/>
    <s v="Audyt Marketingowy 202503"/>
    <s v="MLe bez konwersji na leada"/>
    <x v="0"/>
    <x v="2"/>
    <x v="4"/>
    <x v="3"/>
    <n v="6"/>
    <n v="2"/>
    <n v="1"/>
    <m/>
    <m/>
    <m/>
    <m/>
  </r>
  <r>
    <x v="0"/>
    <x v="3"/>
    <s v="Audyt Tajemniczego Pacjenta 202503"/>
    <s v="Wszelkie Leady (włączając MLe po konwersji na Leada)"/>
    <x v="0"/>
    <x v="2"/>
    <x v="0"/>
    <x v="4"/>
    <n v="1"/>
    <m/>
    <m/>
    <n v="1"/>
    <n v="1"/>
    <m/>
    <m/>
  </r>
  <r>
    <x v="0"/>
    <x v="3"/>
    <s v="Audyt Tajemniczego Pacjenta 202503"/>
    <s v="MLe bez konwersji na leada"/>
    <x v="0"/>
    <x v="2"/>
    <x v="0"/>
    <x v="5"/>
    <n v="2"/>
    <n v="1"/>
    <n v="2"/>
    <m/>
    <m/>
    <m/>
    <m/>
  </r>
  <r>
    <x v="0"/>
    <x v="4"/>
    <s v="BIZNES BUTIK SPÓŁKA Z OGRANICZONĄ ODPOWIEDZIALNOŚCIĄ"/>
    <s v="Wszelkie Leady (włączając MLe po konwersji na Leada)"/>
    <x v="0"/>
    <x v="2"/>
    <x v="0"/>
    <x v="0"/>
    <m/>
    <m/>
    <n v="4"/>
    <m/>
    <n v="2"/>
    <n v="355"/>
    <m/>
  </r>
  <r>
    <x v="1"/>
    <x v="5"/>
    <s v="brak danych"/>
    <s v="Wszelkie Leady (włączając MLe po konwersji na Leada)"/>
    <x v="0"/>
    <x v="2"/>
    <x v="0"/>
    <x v="0"/>
    <m/>
    <n v="1"/>
    <m/>
    <m/>
    <m/>
    <m/>
    <m/>
  </r>
  <r>
    <x v="1"/>
    <x v="6"/>
    <s v="brak danych"/>
    <s v="Wszelkie Leady (włączając MLe po konwersji na Leada)"/>
    <x v="0"/>
    <x v="2"/>
    <x v="0"/>
    <x v="0"/>
    <n v="3"/>
    <n v="1"/>
    <m/>
    <m/>
    <m/>
    <m/>
    <m/>
  </r>
  <r>
    <x v="0"/>
    <x v="7"/>
    <s v="brak danych"/>
    <s v="Wszelkie Leady (włączając MLe po konwersji na Leada)"/>
    <x v="0"/>
    <x v="2"/>
    <x v="0"/>
    <x v="6"/>
    <m/>
    <m/>
    <m/>
    <m/>
    <m/>
    <m/>
    <m/>
  </r>
  <r>
    <x v="0"/>
    <x v="8"/>
    <s v="brak danych"/>
    <s v="Wszelkie Leady (włączając MLe po konwersji na Leada)"/>
    <x v="1"/>
    <x v="2"/>
    <x v="3"/>
    <x v="0"/>
    <m/>
    <m/>
    <m/>
    <m/>
    <m/>
    <m/>
    <m/>
  </r>
  <r>
    <x v="1"/>
    <x v="9"/>
    <s v="brak danych"/>
    <s v="Wszelkie Leady (włączając MLe po konwersji na Leada)"/>
    <x v="2"/>
    <x v="3"/>
    <x v="4"/>
    <x v="5"/>
    <n v="3"/>
    <n v="3"/>
    <n v="3"/>
    <m/>
    <m/>
    <m/>
    <m/>
  </r>
  <r>
    <x v="0"/>
    <x v="3"/>
    <s v="brak danych"/>
    <s v="Wszelkie Leady (włączając MLe po konwersji na Leada)"/>
    <x v="1"/>
    <x v="2"/>
    <x v="0"/>
    <x v="6"/>
    <m/>
    <m/>
    <m/>
    <m/>
    <m/>
    <n v="1"/>
    <m/>
  </r>
  <r>
    <x v="0"/>
    <x v="10"/>
    <s v="brak danych"/>
    <s v="Wszelkie Leady (włączając MLe po konwersji na Leada)"/>
    <x v="3"/>
    <x v="2"/>
    <x v="4"/>
    <x v="0"/>
    <m/>
    <n v="1"/>
    <m/>
    <m/>
    <n v="1"/>
    <n v="1"/>
    <n v="1"/>
  </r>
  <r>
    <x v="0"/>
    <x v="1"/>
    <s v="brak danych"/>
    <s v="Wszelkie Leady (włączając MLe po konwersji na Leada)"/>
    <x v="0"/>
    <x v="2"/>
    <x v="4"/>
    <x v="6"/>
    <m/>
    <m/>
    <m/>
    <m/>
    <m/>
    <m/>
    <m/>
  </r>
  <r>
    <x v="0"/>
    <x v="11"/>
    <s v="brak danych"/>
    <s v="Wszelkie Leady (włączając MLe po konwersji na Leada)"/>
    <x v="3"/>
    <x v="2"/>
    <x v="0"/>
    <x v="6"/>
    <n v="2"/>
    <n v="1"/>
    <n v="2"/>
    <m/>
    <n v="2"/>
    <m/>
    <n v="1"/>
  </r>
  <r>
    <x v="0"/>
    <x v="11"/>
    <s v="CLINICLAB SPECJALISTYCZNE BADANIA LABORATORYJNE SPÓŁKA AKCYJNA"/>
    <s v="Wszelkie Leady (włączając MLe po konwersji na Leada)"/>
    <x v="0"/>
    <x v="2"/>
    <x v="0"/>
    <x v="0"/>
    <m/>
    <m/>
    <m/>
    <m/>
    <m/>
    <m/>
    <m/>
  </r>
  <r>
    <x v="0"/>
    <x v="4"/>
    <s v="CLINICLAB SPECJALISTYCZNE BADANIA LABORATORYJNE SPÓŁKA AKCYJNA"/>
    <s v="Wszelkie Leady (włączając MLe po konwersji na Leada)"/>
    <x v="0"/>
    <x v="2"/>
    <x v="0"/>
    <x v="5"/>
    <m/>
    <m/>
    <m/>
    <m/>
    <m/>
    <m/>
    <m/>
  </r>
  <r>
    <x v="0"/>
    <x v="4"/>
    <s v="COMPERIA.PL SPÓŁKA AKCYJNA"/>
    <s v="Wszelkie Leady (włączając MLe po konwersji na Leada)"/>
    <x v="0"/>
    <x v="2"/>
    <x v="3"/>
    <x v="4"/>
    <m/>
    <n v="2"/>
    <n v="1"/>
    <m/>
    <m/>
    <m/>
    <m/>
  </r>
  <r>
    <x v="0"/>
    <x v="11"/>
    <s v="DENTAL FRATERNITY INVEST SPÓŁKA Z OGRANICZONĄ ODPOWIEDZIALNOŚCIĄ"/>
    <s v="Wszelkie Leady (włączając MLe po konwersji na Leada)"/>
    <x v="0"/>
    <x v="1"/>
    <x v="0"/>
    <x v="0"/>
    <m/>
    <m/>
    <m/>
    <m/>
    <m/>
    <m/>
    <m/>
  </r>
  <r>
    <x v="0"/>
    <x v="5"/>
    <s v="EBook Trudny Pacjent"/>
    <s v="Wszelkie Leady (włączając MLe po konwersji na Leada)"/>
    <x v="0"/>
    <x v="2"/>
    <x v="0"/>
    <x v="7"/>
    <n v="10"/>
    <n v="1"/>
    <n v="12"/>
    <n v="76"/>
    <n v="40"/>
    <m/>
    <m/>
  </r>
  <r>
    <x v="0"/>
    <x v="5"/>
    <s v="EBook Trudny Pacjent"/>
    <s v="MLe bez konwersji na leada"/>
    <x v="0"/>
    <x v="2"/>
    <x v="0"/>
    <x v="8"/>
    <n v="128"/>
    <n v="66"/>
    <n v="117"/>
    <n v="8"/>
    <m/>
    <m/>
    <m/>
  </r>
  <r>
    <x v="0"/>
    <x v="5"/>
    <s v="EBook Trudny Pacjent"/>
    <s v="MLe bez konwersji na leada"/>
    <x v="0"/>
    <x v="2"/>
    <x v="0"/>
    <x v="0"/>
    <m/>
    <m/>
    <m/>
    <m/>
    <m/>
    <m/>
    <m/>
  </r>
  <r>
    <x v="0"/>
    <x v="5"/>
    <s v="EBook Zmiany w prawie marketingu medycznego"/>
    <s v="Wszelkie Leady (włączając MLe po konwersji na Leada)"/>
    <x v="0"/>
    <x v="2"/>
    <x v="0"/>
    <x v="0"/>
    <n v="7"/>
    <n v="3"/>
    <n v="3"/>
    <n v="36"/>
    <n v="66"/>
    <n v="35"/>
    <m/>
  </r>
  <r>
    <x v="0"/>
    <x v="5"/>
    <s v="EBook Zmiany w prawie marketingu medycznego"/>
    <s v="MLe bez konwersji na leada"/>
    <x v="0"/>
    <x v="2"/>
    <x v="0"/>
    <x v="0"/>
    <n v="41"/>
    <n v="83"/>
    <n v="124"/>
    <n v="10"/>
    <n v="11"/>
    <n v="30"/>
    <n v="27"/>
  </r>
  <r>
    <x v="0"/>
    <x v="5"/>
    <s v="EBook Zyskowna przychodnia - redukcja kosztów"/>
    <s v="Wszelkie Leady (włączając MLe po konwersji na Leada)"/>
    <x v="0"/>
    <x v="2"/>
    <x v="0"/>
    <x v="0"/>
    <m/>
    <m/>
    <m/>
    <m/>
    <n v="16"/>
    <n v="9"/>
    <m/>
  </r>
  <r>
    <x v="0"/>
    <x v="5"/>
    <s v="EBook Zyskowna przychodnia - redukcja kosztów"/>
    <s v="MLe bez konwersji na leada"/>
    <x v="0"/>
    <x v="2"/>
    <x v="0"/>
    <x v="0"/>
    <m/>
    <m/>
    <m/>
    <m/>
    <n v="4"/>
    <n v="6"/>
    <n v="8"/>
  </r>
  <r>
    <x v="0"/>
    <x v="3"/>
    <s v="Email biuro"/>
    <s v="Wszelkie Leady (włączając MLe po konwersji na Leada)"/>
    <x v="0"/>
    <x v="1"/>
    <x v="3"/>
    <x v="0"/>
    <m/>
    <m/>
    <m/>
    <m/>
    <m/>
    <m/>
    <m/>
  </r>
  <r>
    <x v="0"/>
    <x v="3"/>
    <s v="FB"/>
    <s v="Wszelkie Leady (włączając MLe po konwersji na Leada)"/>
    <x v="0"/>
    <x v="2"/>
    <x v="3"/>
    <x v="4"/>
    <m/>
    <m/>
    <m/>
    <m/>
    <m/>
    <m/>
    <m/>
  </r>
  <r>
    <x v="0"/>
    <x v="4"/>
    <s v="INSTYTUT DENTALWAY KAMIL KUCZEWSKI"/>
    <s v="Wszelkie Leady (włączając MLe po konwersji na Leada)"/>
    <x v="0"/>
    <x v="2"/>
    <x v="3"/>
    <x v="0"/>
    <m/>
    <m/>
    <m/>
    <m/>
    <m/>
    <m/>
    <m/>
  </r>
  <r>
    <x v="0"/>
    <x v="3"/>
    <s v="Integracja z Medfile"/>
    <s v="MLe bez konwersji na leada"/>
    <x v="0"/>
    <x v="2"/>
    <x v="0"/>
    <x v="0"/>
    <m/>
    <m/>
    <m/>
    <m/>
    <m/>
    <n v="6"/>
    <m/>
  </r>
  <r>
    <x v="0"/>
    <x v="12"/>
    <s v="Marek Wcisło"/>
    <s v="Wszelkie Leady (włączając MLe po konwersji na Leada)"/>
    <x v="0"/>
    <x v="2"/>
    <x v="0"/>
    <x v="0"/>
    <m/>
    <m/>
    <n v="1"/>
    <m/>
    <m/>
    <m/>
    <m/>
  </r>
  <r>
    <x v="0"/>
    <x v="3"/>
    <s v="Meddiesk 3.0"/>
    <s v="Wszelkie Leady (włączając MLe po konwersji na Leada)"/>
    <x v="0"/>
    <x v="2"/>
    <x v="0"/>
    <x v="0"/>
    <m/>
    <n v="1"/>
    <n v="1"/>
    <n v="2"/>
    <m/>
    <n v="1"/>
    <m/>
  </r>
  <r>
    <x v="0"/>
    <x v="3"/>
    <s v="Meddiesk 3.0"/>
    <s v="MLe bez konwersji na leada"/>
    <x v="0"/>
    <x v="2"/>
    <x v="0"/>
    <x v="0"/>
    <m/>
    <n v="2"/>
    <n v="6"/>
    <n v="1"/>
    <n v="1"/>
    <m/>
    <m/>
  </r>
  <r>
    <x v="0"/>
    <x v="4"/>
    <s v="MEDFILE SPÓŁKA Z OGRANICZONĄ ODPOWIEDZIALNOŚCIĄ"/>
    <s v="Wszelkie Leady (włączając MLe po konwersji na Leada)"/>
    <x v="0"/>
    <x v="2"/>
    <x v="0"/>
    <x v="0"/>
    <m/>
    <m/>
    <m/>
    <m/>
    <m/>
    <m/>
    <n v="1"/>
  </r>
  <r>
    <x v="0"/>
    <x v="3"/>
    <s v="Medidesk EDU audyty"/>
    <s v="Wszelkie Leady (włączając MLe po konwersji na Leada)"/>
    <x v="0"/>
    <x v="4"/>
    <x v="0"/>
    <x v="0"/>
    <m/>
    <m/>
    <m/>
    <m/>
    <m/>
    <m/>
    <m/>
  </r>
  <r>
    <x v="0"/>
    <x v="3"/>
    <s v="Medidesk EDU szkolenia"/>
    <s v="MLe bez konwersji na leada"/>
    <x v="0"/>
    <x v="2"/>
    <x v="0"/>
    <x v="0"/>
    <m/>
    <m/>
    <m/>
    <m/>
    <m/>
    <m/>
    <m/>
  </r>
  <r>
    <x v="0"/>
    <x v="3"/>
    <s v="Medidesk Kontakt EN"/>
    <s v="Wszelkie Leady (włączając MLe po konwersji na Leada)"/>
    <x v="0"/>
    <x v="2"/>
    <x v="0"/>
    <x v="0"/>
    <n v="1"/>
    <m/>
    <m/>
    <m/>
    <m/>
    <m/>
    <m/>
  </r>
  <r>
    <x v="0"/>
    <x v="3"/>
    <s v="Medidesk Kontakt EN"/>
    <s v="MLe bez konwersji na leada"/>
    <x v="0"/>
    <x v="2"/>
    <x v="0"/>
    <x v="0"/>
    <m/>
    <m/>
    <m/>
    <m/>
    <m/>
    <m/>
    <m/>
  </r>
  <r>
    <x v="0"/>
    <x v="3"/>
    <s v="Medidesk Kontakt PL"/>
    <s v="Wszelkie Leady (włączając MLe po konwersji na Leada)"/>
    <x v="0"/>
    <x v="2"/>
    <x v="3"/>
    <x v="0"/>
    <n v="2"/>
    <n v="1"/>
    <n v="1"/>
    <n v="1"/>
    <n v="2"/>
    <m/>
    <n v="1"/>
  </r>
  <r>
    <x v="0"/>
    <x v="3"/>
    <s v="Medidesk Kontakt PL"/>
    <s v="MLe bez konwersji na leada"/>
    <x v="3"/>
    <x v="5"/>
    <x v="5"/>
    <x v="5"/>
    <n v="2"/>
    <n v="4"/>
    <n v="9"/>
    <n v="8"/>
    <n v="7"/>
    <n v="6"/>
    <n v="1"/>
  </r>
  <r>
    <x v="0"/>
    <x v="12"/>
    <s v="Michał Modzelewski"/>
    <s v="Wszelkie Leady (włączając MLe po konwersji na Leada)"/>
    <x v="3"/>
    <x v="2"/>
    <x v="0"/>
    <x v="0"/>
    <m/>
    <m/>
    <m/>
    <m/>
    <m/>
    <m/>
    <m/>
  </r>
  <r>
    <x v="0"/>
    <x v="8"/>
    <s v="Polecenie Partnera"/>
    <s v="MLe bez konwersji na leada"/>
    <x v="0"/>
    <x v="2"/>
    <x v="0"/>
    <x v="0"/>
    <m/>
    <n v="1"/>
    <m/>
    <n v="1"/>
    <n v="125"/>
    <n v="270"/>
    <m/>
  </r>
  <r>
    <x v="1"/>
    <x v="13"/>
    <s v="Scrapper"/>
    <s v="MLe bez konwersji na leada"/>
    <x v="0"/>
    <x v="2"/>
    <x v="0"/>
    <x v="0"/>
    <m/>
    <n v="5"/>
    <m/>
    <m/>
    <m/>
    <m/>
    <m/>
  </r>
  <r>
    <x v="0"/>
    <x v="3"/>
    <s v="SMS Campaign"/>
    <s v="MLe bez konwersji na leada"/>
    <x v="0"/>
    <x v="2"/>
    <x v="0"/>
    <x v="0"/>
    <m/>
    <m/>
    <m/>
    <m/>
    <m/>
    <m/>
    <n v="1"/>
  </r>
  <r>
    <x v="0"/>
    <x v="3"/>
    <s v="Umów spotkanie"/>
    <s v="Wszelkie Leady (włączając MLe po konwersji na Leada)"/>
    <x v="0"/>
    <x v="6"/>
    <x v="4"/>
    <x v="9"/>
    <n v="1"/>
    <n v="3"/>
    <n v="4"/>
    <n v="4"/>
    <n v="5"/>
    <n v="3"/>
    <n v="5"/>
  </r>
  <r>
    <x v="0"/>
    <x v="3"/>
    <s v="Umów spotkanie"/>
    <s v="MLe bez konwersji na leada"/>
    <x v="0"/>
    <x v="2"/>
    <x v="4"/>
    <x v="6"/>
    <n v="1"/>
    <n v="1"/>
    <n v="4"/>
    <n v="3"/>
    <n v="2"/>
    <n v="2"/>
    <n v="1"/>
  </r>
  <r>
    <x v="0"/>
    <x v="5"/>
    <s v="Umów spotkanie FB"/>
    <s v="Wszelkie Leady (włączając MLe po konwersji na Leada)"/>
    <x v="0"/>
    <x v="2"/>
    <x v="0"/>
    <x v="0"/>
    <m/>
    <m/>
    <n v="1"/>
    <n v="8"/>
    <n v="4"/>
    <n v="6"/>
    <m/>
  </r>
  <r>
    <x v="0"/>
    <x v="5"/>
    <s v="Umów spotkanie FB"/>
    <s v="MLe bez konwersji na leada"/>
    <x v="0"/>
    <x v="2"/>
    <x v="0"/>
    <x v="0"/>
    <m/>
    <m/>
    <n v="6"/>
    <n v="1"/>
    <n v="2"/>
    <n v="3"/>
    <n v="2"/>
  </r>
  <r>
    <x v="0"/>
    <x v="3"/>
    <s v="Webinar Marafiki 20250409"/>
    <s v="MLe bez konwersji na leada"/>
    <x v="0"/>
    <x v="2"/>
    <x v="3"/>
    <x v="0"/>
    <m/>
    <m/>
    <m/>
    <m/>
    <m/>
    <m/>
    <m/>
  </r>
  <r>
    <x v="1"/>
    <x v="14"/>
    <m/>
    <s v="Wszelkie Leady (włączając MLe po konwersji na Leada)"/>
    <x v="4"/>
    <x v="7"/>
    <x v="6"/>
    <x v="10"/>
    <n v="345"/>
    <n v="79"/>
    <n v="29"/>
    <n v="5"/>
    <n v="21"/>
    <n v="19"/>
    <n v="4"/>
  </r>
  <r>
    <x v="1"/>
    <x v="15"/>
    <m/>
    <m/>
    <x v="0"/>
    <x v="2"/>
    <x v="0"/>
    <x v="0"/>
    <m/>
    <n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C7550-93F0-4BEE-9B29-6B884776A98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3" firstHeaderRow="0" firstDataRow="1" firstDataCol="1"/>
  <pivotFields count="15">
    <pivotField axis="axisRow" showAll="0">
      <items count="3">
        <item x="0"/>
        <item x="1"/>
        <item t="default"/>
      </items>
    </pivotField>
    <pivotField axis="axisRow" showAll="0">
      <items count="17">
        <item x="14"/>
        <item x="15"/>
        <item x="5"/>
        <item x="6"/>
        <item x="11"/>
        <item x="2"/>
        <item x="7"/>
        <item x="4"/>
        <item x="8"/>
        <item x="12"/>
        <item x="9"/>
        <item x="13"/>
        <item x="3"/>
        <item x="10"/>
        <item x="1"/>
        <item x="0"/>
        <item t="default"/>
      </items>
    </pivotField>
    <pivotField showAll="0"/>
    <pivotField showAll="0"/>
    <pivotField dataField="1" showAll="0">
      <items count="6">
        <item x="3"/>
        <item x="2"/>
        <item x="1"/>
        <item x="4"/>
        <item x="0"/>
        <item t="default"/>
      </items>
    </pivotField>
    <pivotField dataField="1" showAll="0">
      <items count="9">
        <item x="1"/>
        <item x="4"/>
        <item x="6"/>
        <item x="0"/>
        <item x="5"/>
        <item x="3"/>
        <item x="7"/>
        <item x="2"/>
        <item t="default"/>
      </items>
    </pivotField>
    <pivotField dataField="1" showAll="0">
      <items count="8">
        <item x="3"/>
        <item x="4"/>
        <item x="1"/>
        <item x="2"/>
        <item x="5"/>
        <item x="6"/>
        <item x="0"/>
        <item t="default"/>
      </items>
    </pivotField>
    <pivotField dataField="1" showAll="0">
      <items count="12">
        <item x="4"/>
        <item x="6"/>
        <item x="5"/>
        <item x="1"/>
        <item x="9"/>
        <item x="3"/>
        <item x="2"/>
        <item x="8"/>
        <item x="7"/>
        <item x="10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0"/>
    <field x="1"/>
  </rowFields>
  <rowItems count="20">
    <i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2"/>
    </i>
    <i r="1">
      <x v="3"/>
    </i>
    <i r="1">
      <x v="10"/>
    </i>
    <i r="1">
      <x v="1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Styczeń" fld="4" baseField="0" baseItem="0"/>
    <dataField name="Sum of Luty" fld="5" baseField="0" baseItem="0"/>
    <dataField name="Sum of Marzec" fld="6" baseField="0" baseItem="0"/>
    <dataField name="Sum of Kwiecień" fld="7" baseField="0" baseItem="0"/>
    <dataField name="Sum of Maj" fld="8" baseField="0" baseItem="0"/>
    <dataField name="Sum of Czerwiec" fld="9" baseField="0" baseItem="0"/>
    <dataField name="Sum of Lipiec" fld="10" baseField="0" baseItem="0"/>
    <dataField name="Sum of Sierpień" fld="11" baseField="0" baseItem="0"/>
    <dataField name="Sum of Wrzesień" fld="12" baseField="0" baseItem="0"/>
    <dataField name="Sum of Październik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1BADBF-ABB3-4062-ABB9-15C28EA036CF}" name="Tabela2" displayName="Tabela2" ref="A3:O4" totalsRowShown="0">
  <autoFilter ref="A3:O4" xr:uid="{651BADBF-ABB3-4062-ABB9-15C28EA036CF}"/>
  <tableColumns count="15">
    <tableColumn id="1" xr3:uid="{FEB5AFB8-140E-4B28-AEB6-FE4D011C86DF}" name="I tier"/>
    <tableColumn id="2" xr3:uid="{0C7E8043-0FAD-46F7-9C15-5055330F3EAE}" name="II tier"/>
    <tableColumn id="3" xr3:uid="{4E8E7476-38AA-4CF0-880E-E5914566679C}" name="III tier"/>
    <tableColumn id="4" xr3:uid="{DC0EC369-F683-462B-8DA6-F52E0609AC60}" name="Uwagi"/>
    <tableColumn id="5" xr3:uid="{358139AA-60F1-4965-A953-42A9F6CCE59A}" name="Styczeń"/>
    <tableColumn id="6" xr3:uid="{4E8572A8-73A9-4897-B3B1-EFBDF3E911A3}" name="Luty"/>
    <tableColumn id="7" xr3:uid="{238179FF-0EBE-4B71-B97A-CB4087680A04}" name="Marzec"/>
    <tableColumn id="8" xr3:uid="{32800161-D71F-4331-9B50-2F973FBFC886}" name="Kwiecień"/>
    <tableColumn id="9" xr3:uid="{33E11FA5-48CD-43BC-B3D5-D74279A9AC19}" name="Maj"/>
    <tableColumn id="10" xr3:uid="{0E289884-51F8-49EF-BD1E-E34701FCE45B}" name="Czerwiec"/>
    <tableColumn id="11" xr3:uid="{FDB2F134-5508-45AB-8BC5-563685690C31}" name="Lipiec"/>
    <tableColumn id="12" xr3:uid="{DF093E9A-F675-4544-B8B7-BD017FD5F1F3}" name="Sierpień"/>
    <tableColumn id="13" xr3:uid="{F5448F50-9E2F-441C-8932-315FBEE58116}" name="Wrzesień"/>
    <tableColumn id="14" xr3:uid="{C9A3C1AE-3E66-48FC-9698-CAB0BB0E3793}" name="Październik"/>
    <tableColumn id="15" xr3:uid="{F9481CF8-B0A4-4FC5-92EE-CFD6E4AD1FF1}" name="Listop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53DB0-359B-4603-B224-A80AF0BF5D29}" name="Table2456" displayName="Table2456" ref="A1:O61" totalsRowShown="0" headerRowDxfId="17" dataDxfId="15" headerRowBorderDxfId="16">
  <autoFilter ref="A1:O61" xr:uid="{3960FD5D-9F44-46A6-96C2-5A4D7FA9CCAE}"/>
  <sortState xmlns:xlrd2="http://schemas.microsoft.com/office/spreadsheetml/2017/richdata2" ref="A2:O61">
    <sortCondition ref="C1:C61"/>
  </sortState>
  <tableColumns count="15">
    <tableColumn id="1" xr3:uid="{1E7D78D7-E883-403A-B7EB-DD54609C78AE}" name="I tier" dataDxfId="14"/>
    <tableColumn id="2" xr3:uid="{3C872296-C070-4627-9255-49E961D49A74}" name="II tier" dataDxfId="13"/>
    <tableColumn id="23" xr3:uid="{86BEF54E-809F-4D4F-9247-B6D972582E13}" name="III tier" dataDxfId="12"/>
    <tableColumn id="25" xr3:uid="{A2375391-4EC4-41E2-8216-F71CECFA8151}" name="Uwagi" dataDxfId="11"/>
    <tableColumn id="12" xr3:uid="{ED4C21F9-2DF4-46C3-BDF7-839F2C4894B2}" name="Styczeń" dataDxfId="10"/>
    <tableColumn id="13" xr3:uid="{AB047EC8-0946-4FEE-9342-4AEF5ECAF85A}" name="Luty" dataDxfId="9"/>
    <tableColumn id="14" xr3:uid="{B7E7ACAD-CF76-4401-82A2-DD5A6F5E3B28}" name="Marzec" dataDxfId="8"/>
    <tableColumn id="15" xr3:uid="{FB93701B-6411-4F26-8732-FF2782B19545}" name="Kwiecień" dataDxfId="7"/>
    <tableColumn id="16" xr3:uid="{1E3FDE9F-0298-4162-815B-E9B268F0C4A0}" name="Maj" dataDxfId="6"/>
    <tableColumn id="17" xr3:uid="{DAB5D572-DDA6-4E2E-8CB4-A54936107888}" name="Czerwiec" dataDxfId="5"/>
    <tableColumn id="18" xr3:uid="{96CBF04B-09D9-4799-AE3D-BE71455F10DF}" name="Lipiec" dataDxfId="4"/>
    <tableColumn id="19" xr3:uid="{4D05948B-7A10-486E-A671-54914ECEA215}" name="Sierpień" dataDxfId="3"/>
    <tableColumn id="20" xr3:uid="{401FCB3C-B42B-4D1C-B738-D0379AC17884}" name="Wrzesień" dataDxfId="2"/>
    <tableColumn id="21" xr3:uid="{EBDA1A40-6692-4109-ABF9-564D4CC8236A}" name="Październik" dataDxfId="1"/>
    <tableColumn id="22" xr3:uid="{58ABBB73-3411-44FA-868A-D7F175E8572A}" name="Listop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5AB8-269C-4EE4-B21A-B11CF515EBA9}">
  <dimension ref="A1:O4"/>
  <sheetViews>
    <sheetView workbookViewId="0">
      <selection activeCell="A3" sqref="A3:O4"/>
    </sheetView>
  </sheetViews>
  <sheetFormatPr defaultRowHeight="14.5" x14ac:dyDescent="0.35"/>
  <cols>
    <col min="1" max="1" width="8.81640625" bestFit="1" customWidth="1"/>
    <col min="2" max="2" width="19.08984375" bestFit="1" customWidth="1"/>
    <col min="3" max="3" width="8.81640625" bestFit="1" customWidth="1"/>
    <col min="4" max="4" width="45.1796875" bestFit="1" customWidth="1"/>
    <col min="5" max="5" width="9.6328125" bestFit="1" customWidth="1"/>
    <col min="6" max="6" width="8.81640625" bestFit="1" customWidth="1"/>
    <col min="7" max="7" width="9" bestFit="1" customWidth="1"/>
    <col min="8" max="8" width="10.7265625" bestFit="1" customWidth="1"/>
    <col min="9" max="9" width="8.81640625" bestFit="1" customWidth="1"/>
    <col min="10" max="10" width="10.7265625" bestFit="1" customWidth="1"/>
    <col min="11" max="11" width="8.81640625" bestFit="1" customWidth="1"/>
    <col min="12" max="12" width="10.08984375" bestFit="1" customWidth="1"/>
    <col min="13" max="13" width="10.7265625" bestFit="1" customWidth="1"/>
    <col min="14" max="14" width="12.7265625" bestFit="1" customWidth="1"/>
    <col min="15" max="15" width="10.26953125" bestFit="1" customWidth="1"/>
  </cols>
  <sheetData>
    <row r="1" spans="1:15" x14ac:dyDescent="0.35">
      <c r="A1" s="18" t="s">
        <v>85</v>
      </c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35">
      <c r="A4" t="s">
        <v>34</v>
      </c>
      <c r="B4" t="s">
        <v>68</v>
      </c>
      <c r="D4" t="s">
        <v>18</v>
      </c>
      <c r="E4">
        <v>164</v>
      </c>
      <c r="F4">
        <v>177</v>
      </c>
      <c r="G4">
        <v>150</v>
      </c>
      <c r="H4">
        <v>436</v>
      </c>
      <c r="I4">
        <v>345</v>
      </c>
      <c r="J4">
        <v>79</v>
      </c>
      <c r="K4">
        <v>29</v>
      </c>
      <c r="L4">
        <v>5</v>
      </c>
      <c r="M4">
        <v>21</v>
      </c>
      <c r="N4">
        <v>19</v>
      </c>
      <c r="O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8BBB-7818-4F06-A85D-41694F0D214E}">
  <dimension ref="A3:K23"/>
  <sheetViews>
    <sheetView workbookViewId="0">
      <selection activeCell="J17" sqref="J17"/>
    </sheetView>
  </sheetViews>
  <sheetFormatPr defaultRowHeight="14.5" x14ac:dyDescent="0.35"/>
  <cols>
    <col min="1" max="1" width="33.08984375" bestFit="1" customWidth="1"/>
    <col min="2" max="2" width="13.08984375" bestFit="1" customWidth="1"/>
    <col min="3" max="3" width="10.1796875" bestFit="1" customWidth="1"/>
    <col min="4" max="4" width="12.54296875" bestFit="1" customWidth="1"/>
    <col min="5" max="5" width="14.1796875" bestFit="1" customWidth="1"/>
    <col min="6" max="6" width="9.6328125" bestFit="1" customWidth="1"/>
    <col min="7" max="7" width="14.1796875" bestFit="1" customWidth="1"/>
    <col min="8" max="8" width="11.6328125" bestFit="1" customWidth="1"/>
    <col min="9" max="9" width="13.54296875" bestFit="1" customWidth="1"/>
    <col min="10" max="10" width="14.1796875" bestFit="1" customWidth="1"/>
    <col min="11" max="11" width="16.08984375" bestFit="1" customWidth="1"/>
    <col min="12" max="12" width="10.1796875" bestFit="1" customWidth="1"/>
    <col min="13" max="13" width="12.54296875" bestFit="1" customWidth="1"/>
    <col min="14" max="14" width="13.08984375" bestFit="1" customWidth="1"/>
    <col min="15" max="15" width="10.1796875" bestFit="1" customWidth="1"/>
    <col min="16" max="16" width="12.54296875" bestFit="1" customWidth="1"/>
    <col min="17" max="17" width="13.08984375" bestFit="1" customWidth="1"/>
    <col min="18" max="18" width="10.1796875" bestFit="1" customWidth="1"/>
    <col min="19" max="19" width="12.54296875" bestFit="1" customWidth="1"/>
    <col min="20" max="20" width="13.08984375" bestFit="1" customWidth="1"/>
    <col min="21" max="21" width="10.1796875" bestFit="1" customWidth="1"/>
    <col min="22" max="22" width="12.54296875" bestFit="1" customWidth="1"/>
    <col min="23" max="23" width="13.08984375" bestFit="1" customWidth="1"/>
    <col min="24" max="24" width="10.1796875" bestFit="1" customWidth="1"/>
    <col min="25" max="25" width="12.54296875" bestFit="1" customWidth="1"/>
    <col min="26" max="26" width="13.08984375" bestFit="1" customWidth="1"/>
    <col min="27" max="27" width="10.1796875" bestFit="1" customWidth="1"/>
    <col min="28" max="28" width="12.54296875" bestFit="1" customWidth="1"/>
    <col min="29" max="29" width="13.08984375" bestFit="1" customWidth="1"/>
    <col min="30" max="30" width="10.1796875" bestFit="1" customWidth="1"/>
    <col min="31" max="31" width="12.54296875" bestFit="1" customWidth="1"/>
    <col min="32" max="32" width="13.08984375" bestFit="1" customWidth="1"/>
    <col min="33" max="33" width="10.1796875" bestFit="1" customWidth="1"/>
    <col min="34" max="34" width="12.54296875" bestFit="1" customWidth="1"/>
    <col min="35" max="35" width="17.54296875" bestFit="1" customWidth="1"/>
    <col min="36" max="36" width="14.54296875" bestFit="1" customWidth="1"/>
    <col min="37" max="37" width="16.90625" bestFit="1" customWidth="1"/>
    <col min="38" max="38" width="13.08984375" bestFit="1" customWidth="1"/>
    <col min="39" max="39" width="10.1796875" bestFit="1" customWidth="1"/>
    <col min="40" max="40" width="13.08984375" bestFit="1" customWidth="1"/>
    <col min="41" max="41" width="10.1796875" bestFit="1" customWidth="1"/>
    <col min="42" max="42" width="13.08984375" bestFit="1" customWidth="1"/>
    <col min="43" max="43" width="10.1796875" bestFit="1" customWidth="1"/>
    <col min="44" max="44" width="13.08984375" bestFit="1" customWidth="1"/>
    <col min="45" max="45" width="10.1796875" bestFit="1" customWidth="1"/>
    <col min="46" max="46" width="13.08984375" bestFit="1" customWidth="1"/>
    <col min="47" max="47" width="10.1796875" bestFit="1" customWidth="1"/>
    <col min="48" max="48" width="13.08984375" bestFit="1" customWidth="1"/>
    <col min="49" max="49" width="10.1796875" bestFit="1" customWidth="1"/>
    <col min="50" max="50" width="19.36328125" bestFit="1" customWidth="1"/>
    <col min="51" max="51" width="16.453125" bestFit="1" customWidth="1"/>
    <col min="52" max="52" width="17.54296875" bestFit="1" customWidth="1"/>
    <col min="53" max="53" width="14.54296875" bestFit="1" customWidth="1"/>
    <col min="54" max="55" width="2.6328125" bestFit="1" customWidth="1"/>
    <col min="56" max="56" width="6.54296875" bestFit="1" customWidth="1"/>
    <col min="57" max="59" width="10.81640625" bestFit="1" customWidth="1"/>
    <col min="60" max="60" width="9.90625" bestFit="1" customWidth="1"/>
  </cols>
  <sheetData>
    <row r="3" spans="1:11" x14ac:dyDescent="0.35">
      <c r="A3" s="15" t="s">
        <v>70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</row>
    <row r="4" spans="1:11" x14ac:dyDescent="0.35">
      <c r="A4" s="8" t="s">
        <v>15</v>
      </c>
      <c r="B4">
        <v>22</v>
      </c>
      <c r="C4">
        <v>20</v>
      </c>
      <c r="D4">
        <v>32</v>
      </c>
      <c r="E4">
        <v>143</v>
      </c>
      <c r="F4">
        <v>210</v>
      </c>
      <c r="G4">
        <v>182</v>
      </c>
      <c r="H4">
        <v>301</v>
      </c>
      <c r="I4">
        <v>160</v>
      </c>
      <c r="J4">
        <v>292</v>
      </c>
      <c r="K4">
        <v>735</v>
      </c>
    </row>
    <row r="5" spans="1:11" x14ac:dyDescent="0.35">
      <c r="A5" s="16" t="s">
        <v>35</v>
      </c>
      <c r="E5">
        <v>70</v>
      </c>
      <c r="F5">
        <v>186</v>
      </c>
      <c r="G5">
        <v>153</v>
      </c>
      <c r="H5">
        <v>263</v>
      </c>
      <c r="I5">
        <v>139</v>
      </c>
      <c r="J5">
        <v>143</v>
      </c>
      <c r="K5">
        <v>89</v>
      </c>
    </row>
    <row r="6" spans="1:11" x14ac:dyDescent="0.35">
      <c r="A6" s="16" t="s">
        <v>42</v>
      </c>
      <c r="B6">
        <v>1</v>
      </c>
      <c r="C6">
        <v>1</v>
      </c>
      <c r="E6">
        <v>2</v>
      </c>
      <c r="F6">
        <v>2</v>
      </c>
      <c r="G6">
        <v>1</v>
      </c>
      <c r="H6">
        <v>2</v>
      </c>
      <c r="J6">
        <v>2</v>
      </c>
    </row>
    <row r="7" spans="1:11" x14ac:dyDescent="0.35">
      <c r="A7" s="16" t="s">
        <v>27</v>
      </c>
      <c r="K7">
        <v>1</v>
      </c>
    </row>
    <row r="8" spans="1:11" x14ac:dyDescent="0.35">
      <c r="A8" s="16" t="s">
        <v>38</v>
      </c>
      <c r="E8">
        <v>2</v>
      </c>
    </row>
    <row r="9" spans="1:11" x14ac:dyDescent="0.35">
      <c r="A9" s="16" t="s">
        <v>32</v>
      </c>
      <c r="D9">
        <v>2</v>
      </c>
      <c r="E9">
        <v>4</v>
      </c>
      <c r="G9">
        <v>2</v>
      </c>
      <c r="H9">
        <v>5</v>
      </c>
      <c r="J9">
        <v>2</v>
      </c>
      <c r="K9">
        <v>355</v>
      </c>
    </row>
    <row r="10" spans="1:11" x14ac:dyDescent="0.35">
      <c r="A10" s="16" t="s">
        <v>39</v>
      </c>
      <c r="B10">
        <v>9</v>
      </c>
      <c r="D10">
        <v>1</v>
      </c>
      <c r="G10">
        <v>1</v>
      </c>
      <c r="I10">
        <v>1</v>
      </c>
      <c r="J10">
        <v>125</v>
      </c>
      <c r="K10">
        <v>270</v>
      </c>
    </row>
    <row r="11" spans="1:11" x14ac:dyDescent="0.35">
      <c r="A11" s="16" t="s">
        <v>53</v>
      </c>
      <c r="B11">
        <v>1</v>
      </c>
      <c r="H11">
        <v>1</v>
      </c>
    </row>
    <row r="12" spans="1:11" x14ac:dyDescent="0.35">
      <c r="A12" s="16" t="s">
        <v>29</v>
      </c>
      <c r="B12">
        <v>10</v>
      </c>
      <c r="C12">
        <v>13</v>
      </c>
      <c r="D12">
        <v>17</v>
      </c>
      <c r="E12">
        <v>55</v>
      </c>
      <c r="F12">
        <v>22</v>
      </c>
      <c r="G12">
        <v>19</v>
      </c>
      <c r="H12">
        <v>28</v>
      </c>
      <c r="I12">
        <v>20</v>
      </c>
      <c r="J12">
        <v>19</v>
      </c>
      <c r="K12">
        <v>19</v>
      </c>
    </row>
    <row r="13" spans="1:11" x14ac:dyDescent="0.35">
      <c r="A13" s="16" t="s">
        <v>41</v>
      </c>
      <c r="B13">
        <v>1</v>
      </c>
      <c r="D13">
        <v>2</v>
      </c>
      <c r="G13">
        <v>1</v>
      </c>
      <c r="J13">
        <v>1</v>
      </c>
      <c r="K13">
        <v>1</v>
      </c>
    </row>
    <row r="14" spans="1:11" x14ac:dyDescent="0.35">
      <c r="A14" s="16" t="s">
        <v>19</v>
      </c>
      <c r="C14">
        <v>1</v>
      </c>
      <c r="D14">
        <v>2</v>
      </c>
      <c r="E14">
        <v>2</v>
      </c>
      <c r="G14">
        <v>3</v>
      </c>
    </row>
    <row r="15" spans="1:11" x14ac:dyDescent="0.35">
      <c r="A15" s="16" t="s">
        <v>16</v>
      </c>
      <c r="C15">
        <v>5</v>
      </c>
      <c r="D15">
        <v>8</v>
      </c>
      <c r="E15">
        <v>8</v>
      </c>
      <c r="G15">
        <v>2</v>
      </c>
      <c r="H15">
        <v>2</v>
      </c>
    </row>
    <row r="16" spans="1:11" x14ac:dyDescent="0.35">
      <c r="A16" s="8" t="s">
        <v>34</v>
      </c>
      <c r="B16">
        <v>171</v>
      </c>
      <c r="C16">
        <v>191</v>
      </c>
      <c r="D16">
        <v>152</v>
      </c>
      <c r="E16">
        <v>439</v>
      </c>
      <c r="F16">
        <v>351</v>
      </c>
      <c r="G16">
        <v>91</v>
      </c>
      <c r="H16">
        <v>32</v>
      </c>
      <c r="I16">
        <v>5</v>
      </c>
      <c r="J16">
        <v>21</v>
      </c>
      <c r="K16">
        <v>19</v>
      </c>
    </row>
    <row r="17" spans="1:11" x14ac:dyDescent="0.35">
      <c r="A17" s="16" t="s">
        <v>68</v>
      </c>
      <c r="B17">
        <v>164</v>
      </c>
      <c r="C17">
        <v>177</v>
      </c>
      <c r="D17">
        <v>150</v>
      </c>
      <c r="E17">
        <v>436</v>
      </c>
      <c r="F17">
        <v>345</v>
      </c>
      <c r="G17">
        <v>79</v>
      </c>
      <c r="H17">
        <v>29</v>
      </c>
      <c r="I17">
        <v>5</v>
      </c>
      <c r="J17">
        <v>21</v>
      </c>
      <c r="K17">
        <v>19</v>
      </c>
    </row>
    <row r="18" spans="1:11" x14ac:dyDescent="0.35">
      <c r="A18" s="16" t="s">
        <v>69</v>
      </c>
      <c r="G18">
        <v>2</v>
      </c>
    </row>
    <row r="19" spans="1:11" x14ac:dyDescent="0.35">
      <c r="A19" s="16" t="s">
        <v>35</v>
      </c>
      <c r="G19">
        <v>1</v>
      </c>
    </row>
    <row r="20" spans="1:11" x14ac:dyDescent="0.35">
      <c r="A20" s="16" t="s">
        <v>37</v>
      </c>
      <c r="F20">
        <v>3</v>
      </c>
      <c r="G20">
        <v>1</v>
      </c>
    </row>
    <row r="21" spans="1:11" x14ac:dyDescent="0.35">
      <c r="A21" s="16" t="s">
        <v>40</v>
      </c>
      <c r="B21">
        <v>7</v>
      </c>
      <c r="C21">
        <v>14</v>
      </c>
      <c r="D21">
        <v>2</v>
      </c>
      <c r="E21">
        <v>3</v>
      </c>
      <c r="F21">
        <v>3</v>
      </c>
      <c r="G21">
        <v>3</v>
      </c>
      <c r="H21">
        <v>3</v>
      </c>
    </row>
    <row r="22" spans="1:11" x14ac:dyDescent="0.35">
      <c r="A22" s="16" t="s">
        <v>63</v>
      </c>
      <c r="G22">
        <v>5</v>
      </c>
    </row>
    <row r="23" spans="1:11" x14ac:dyDescent="0.35">
      <c r="A23" s="8" t="s">
        <v>71</v>
      </c>
      <c r="B23">
        <v>193</v>
      </c>
      <c r="C23">
        <v>211</v>
      </c>
      <c r="D23">
        <v>184</v>
      </c>
      <c r="E23">
        <v>582</v>
      </c>
      <c r="F23">
        <v>561</v>
      </c>
      <c r="G23">
        <v>273</v>
      </c>
      <c r="H23">
        <v>333</v>
      </c>
      <c r="I23">
        <v>165</v>
      </c>
      <c r="J23">
        <v>313</v>
      </c>
      <c r="K23">
        <v>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0313-6D2A-4BA7-8DA9-A25D612E9B99}">
  <dimension ref="A1:O61"/>
  <sheetViews>
    <sheetView topLeftCell="A31" zoomScale="115" zoomScaleNormal="115" workbookViewId="0">
      <selection activeCell="C12" sqref="C12"/>
    </sheetView>
  </sheetViews>
  <sheetFormatPr defaultRowHeight="14.5" x14ac:dyDescent="0.35"/>
  <cols>
    <col min="2" max="2" width="29.1796875" bestFit="1" customWidth="1"/>
    <col min="3" max="3" width="63.26953125" bestFit="1" customWidth="1"/>
    <col min="4" max="4" width="45.08984375" bestFit="1" customWidth="1"/>
    <col min="5" max="5" width="9.26953125" bestFit="1" customWidth="1"/>
    <col min="6" max="6" width="6.36328125" bestFit="1" customWidth="1"/>
    <col min="7" max="7" width="8.6328125" bestFit="1" customWidth="1"/>
    <col min="8" max="8" width="10.26953125" bestFit="1" customWidth="1"/>
    <col min="9" max="9" width="5.81640625" bestFit="1" customWidth="1"/>
    <col min="10" max="10" width="10.26953125" bestFit="1" customWidth="1"/>
    <col min="11" max="11" width="7.81640625" bestFit="1" customWidth="1"/>
    <col min="12" max="12" width="9.6328125" bestFit="1" customWidth="1"/>
    <col min="13" max="13" width="10.26953125" bestFit="1" customWidth="1"/>
    <col min="14" max="14" width="12.26953125" bestFit="1" customWidth="1"/>
    <col min="15" max="16" width="9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4" t="s">
        <v>15</v>
      </c>
      <c r="B2" s="5" t="s">
        <v>16</v>
      </c>
      <c r="C2" s="4" t="s">
        <v>17</v>
      </c>
      <c r="D2" s="4" t="s">
        <v>18</v>
      </c>
      <c r="F2">
        <v>5</v>
      </c>
    </row>
    <row r="3" spans="1:15" x14ac:dyDescent="0.35">
      <c r="A3" s="6" t="s">
        <v>15</v>
      </c>
      <c r="B3" t="s">
        <v>19</v>
      </c>
      <c r="C3" s="7" t="s">
        <v>17</v>
      </c>
      <c r="D3" s="6" t="s">
        <v>20</v>
      </c>
      <c r="F3">
        <v>1</v>
      </c>
    </row>
    <row r="4" spans="1:15" x14ac:dyDescent="0.35">
      <c r="A4" s="4" t="s">
        <v>15</v>
      </c>
      <c r="B4" s="5" t="s">
        <v>16</v>
      </c>
      <c r="C4" s="7" t="s">
        <v>21</v>
      </c>
      <c r="D4" s="4" t="s">
        <v>18</v>
      </c>
      <c r="G4">
        <v>3</v>
      </c>
      <c r="H4">
        <v>4</v>
      </c>
    </row>
    <row r="5" spans="1:15" x14ac:dyDescent="0.35">
      <c r="A5" s="4" t="s">
        <v>15</v>
      </c>
      <c r="B5" s="5" t="s">
        <v>16</v>
      </c>
      <c r="C5" s="7" t="s">
        <v>22</v>
      </c>
      <c r="D5" s="4" t="s">
        <v>18</v>
      </c>
      <c r="G5">
        <v>4</v>
      </c>
      <c r="H5">
        <v>4</v>
      </c>
      <c r="J5">
        <v>1</v>
      </c>
    </row>
    <row r="6" spans="1:15" x14ac:dyDescent="0.35">
      <c r="A6" s="4" t="s">
        <v>15</v>
      </c>
      <c r="B6" s="5" t="s">
        <v>16</v>
      </c>
      <c r="C6" s="4" t="s">
        <v>23</v>
      </c>
      <c r="D6" s="4" t="s">
        <v>18</v>
      </c>
      <c r="J6">
        <v>1</v>
      </c>
    </row>
    <row r="7" spans="1:15" x14ac:dyDescent="0.35">
      <c r="A7" s="4" t="s">
        <v>15</v>
      </c>
      <c r="B7" s="5" t="s">
        <v>16</v>
      </c>
      <c r="C7" s="4" t="s">
        <v>24</v>
      </c>
      <c r="D7" s="4" t="s">
        <v>18</v>
      </c>
      <c r="G7">
        <v>1</v>
      </c>
    </row>
    <row r="8" spans="1:15" x14ac:dyDescent="0.35">
      <c r="A8" s="6" t="s">
        <v>15</v>
      </c>
      <c r="B8" t="s">
        <v>19</v>
      </c>
      <c r="C8" s="4" t="s">
        <v>24</v>
      </c>
      <c r="D8" s="6" t="s">
        <v>20</v>
      </c>
      <c r="J8">
        <v>3</v>
      </c>
    </row>
    <row r="9" spans="1:15" x14ac:dyDescent="0.35">
      <c r="A9" s="4" t="s">
        <v>15</v>
      </c>
      <c r="B9" s="5" t="s">
        <v>16</v>
      </c>
      <c r="C9" s="4" t="s">
        <v>25</v>
      </c>
      <c r="D9" s="4" t="s">
        <v>18</v>
      </c>
      <c r="K9">
        <v>1</v>
      </c>
    </row>
    <row r="10" spans="1:15" x14ac:dyDescent="0.35">
      <c r="A10" s="4" t="s">
        <v>15</v>
      </c>
      <c r="B10" s="5" t="s">
        <v>16</v>
      </c>
      <c r="C10" s="4" t="s">
        <v>26</v>
      </c>
      <c r="D10" s="4" t="s">
        <v>18</v>
      </c>
      <c r="K10">
        <v>1</v>
      </c>
    </row>
    <row r="11" spans="1:15" x14ac:dyDescent="0.35">
      <c r="A11" s="4" t="s">
        <v>15</v>
      </c>
      <c r="B11" s="5" t="s">
        <v>27</v>
      </c>
      <c r="C11" s="8" t="s">
        <v>28</v>
      </c>
      <c r="D11" s="4" t="s">
        <v>18</v>
      </c>
      <c r="N11">
        <v>1</v>
      </c>
    </row>
    <row r="12" spans="1:15" x14ac:dyDescent="0.35">
      <c r="A12" s="4" t="s">
        <v>15</v>
      </c>
      <c r="B12" s="8" t="s">
        <v>29</v>
      </c>
      <c r="C12" s="4" t="s">
        <v>30</v>
      </c>
      <c r="D12" s="4" t="s">
        <v>18</v>
      </c>
      <c r="H12">
        <v>26</v>
      </c>
      <c r="I12">
        <v>6</v>
      </c>
      <c r="J12">
        <v>4</v>
      </c>
      <c r="M12">
        <v>1</v>
      </c>
    </row>
    <row r="13" spans="1:15" x14ac:dyDescent="0.35">
      <c r="A13" s="6" t="s">
        <v>15</v>
      </c>
      <c r="B13" t="s">
        <v>29</v>
      </c>
      <c r="C13" s="4" t="s">
        <v>30</v>
      </c>
      <c r="D13" s="6" t="s">
        <v>20</v>
      </c>
      <c r="G13">
        <v>2</v>
      </c>
      <c r="H13">
        <v>12</v>
      </c>
      <c r="I13">
        <v>6</v>
      </c>
      <c r="J13">
        <v>2</v>
      </c>
      <c r="K13">
        <v>1</v>
      </c>
    </row>
    <row r="14" spans="1:15" x14ac:dyDescent="0.35">
      <c r="A14" s="4" t="s">
        <v>15</v>
      </c>
      <c r="B14" s="8" t="s">
        <v>29</v>
      </c>
      <c r="C14" s="4" t="s">
        <v>31</v>
      </c>
      <c r="D14" s="4" t="s">
        <v>18</v>
      </c>
      <c r="H14">
        <v>1</v>
      </c>
      <c r="I14">
        <v>1</v>
      </c>
      <c r="L14">
        <v>1</v>
      </c>
      <c r="M14">
        <v>1</v>
      </c>
    </row>
    <row r="15" spans="1:15" x14ac:dyDescent="0.35">
      <c r="A15" s="6" t="s">
        <v>15</v>
      </c>
      <c r="B15" t="s">
        <v>29</v>
      </c>
      <c r="C15" s="4" t="s">
        <v>31</v>
      </c>
      <c r="D15" s="6" t="s">
        <v>20</v>
      </c>
      <c r="H15">
        <v>3</v>
      </c>
      <c r="I15">
        <v>2</v>
      </c>
      <c r="J15">
        <v>1</v>
      </c>
      <c r="K15">
        <v>2</v>
      </c>
    </row>
    <row r="16" spans="1:15" x14ac:dyDescent="0.35">
      <c r="A16" s="4" t="s">
        <v>15</v>
      </c>
      <c r="B16" s="8" t="s">
        <v>32</v>
      </c>
      <c r="C16" s="4" t="s">
        <v>33</v>
      </c>
      <c r="D16" s="4" t="s">
        <v>18</v>
      </c>
      <c r="K16">
        <v>4</v>
      </c>
      <c r="M16">
        <v>2</v>
      </c>
      <c r="N16">
        <v>355</v>
      </c>
    </row>
    <row r="17" spans="1:15" x14ac:dyDescent="0.35">
      <c r="A17" s="4" t="s">
        <v>34</v>
      </c>
      <c r="B17" s="4" t="s">
        <v>35</v>
      </c>
      <c r="C17" s="8" t="s">
        <v>36</v>
      </c>
      <c r="D17" s="4" t="s">
        <v>18</v>
      </c>
      <c r="J17">
        <v>1</v>
      </c>
    </row>
    <row r="18" spans="1:15" x14ac:dyDescent="0.35">
      <c r="A18" s="4" t="s">
        <v>34</v>
      </c>
      <c r="B18" s="4" t="s">
        <v>37</v>
      </c>
      <c r="C18" s="8" t="s">
        <v>36</v>
      </c>
      <c r="D18" s="4" t="s">
        <v>18</v>
      </c>
      <c r="I18">
        <v>3</v>
      </c>
      <c r="J18">
        <v>1</v>
      </c>
    </row>
    <row r="19" spans="1:15" x14ac:dyDescent="0.35">
      <c r="A19" s="4" t="s">
        <v>15</v>
      </c>
      <c r="B19" s="8" t="s">
        <v>38</v>
      </c>
      <c r="C19" s="8" t="s">
        <v>36</v>
      </c>
      <c r="D19" s="4" t="s">
        <v>18</v>
      </c>
      <c r="H19">
        <v>2</v>
      </c>
    </row>
    <row r="20" spans="1:15" x14ac:dyDescent="0.35">
      <c r="A20" s="4" t="s">
        <v>15</v>
      </c>
      <c r="B20" s="8" t="s">
        <v>39</v>
      </c>
      <c r="C20" s="8" t="s">
        <v>36</v>
      </c>
      <c r="D20" s="4" t="s">
        <v>18</v>
      </c>
      <c r="E20">
        <v>9</v>
      </c>
      <c r="G20">
        <v>1</v>
      </c>
    </row>
    <row r="21" spans="1:15" x14ac:dyDescent="0.35">
      <c r="A21" s="4" t="s">
        <v>34</v>
      </c>
      <c r="B21" s="4" t="s">
        <v>40</v>
      </c>
      <c r="C21" s="8" t="s">
        <v>36</v>
      </c>
      <c r="D21" s="4" t="s">
        <v>18</v>
      </c>
      <c r="E21">
        <v>7</v>
      </c>
      <c r="F21">
        <v>14</v>
      </c>
      <c r="G21">
        <v>2</v>
      </c>
      <c r="H21">
        <v>3</v>
      </c>
      <c r="I21">
        <v>3</v>
      </c>
      <c r="J21">
        <v>3</v>
      </c>
      <c r="K21">
        <v>3</v>
      </c>
    </row>
    <row r="22" spans="1:15" x14ac:dyDescent="0.35">
      <c r="A22" s="4" t="s">
        <v>15</v>
      </c>
      <c r="B22" s="8" t="s">
        <v>29</v>
      </c>
      <c r="C22" s="8" t="s">
        <v>36</v>
      </c>
      <c r="D22" s="4" t="s">
        <v>18</v>
      </c>
      <c r="E22">
        <v>9</v>
      </c>
      <c r="H22">
        <v>2</v>
      </c>
      <c r="N22">
        <v>1</v>
      </c>
    </row>
    <row r="23" spans="1:15" x14ac:dyDescent="0.35">
      <c r="A23" s="4" t="s">
        <v>15</v>
      </c>
      <c r="B23" s="8" t="s">
        <v>41</v>
      </c>
      <c r="C23" s="8" t="s">
        <v>36</v>
      </c>
      <c r="D23" s="4" t="s">
        <v>18</v>
      </c>
      <c r="E23">
        <v>1</v>
      </c>
      <c r="G23">
        <v>2</v>
      </c>
      <c r="J23">
        <v>1</v>
      </c>
      <c r="M23">
        <v>1</v>
      </c>
      <c r="N23">
        <v>1</v>
      </c>
      <c r="O23">
        <v>1</v>
      </c>
    </row>
    <row r="24" spans="1:15" x14ac:dyDescent="0.35">
      <c r="A24" s="4" t="s">
        <v>15</v>
      </c>
      <c r="B24" s="8" t="s">
        <v>19</v>
      </c>
      <c r="C24" s="8" t="s">
        <v>36</v>
      </c>
      <c r="D24" s="4" t="s">
        <v>18</v>
      </c>
      <c r="G24">
        <v>2</v>
      </c>
      <c r="H24">
        <v>2</v>
      </c>
    </row>
    <row r="25" spans="1:15" x14ac:dyDescent="0.35">
      <c r="A25" s="4" t="s">
        <v>15</v>
      </c>
      <c r="B25" s="5" t="s">
        <v>42</v>
      </c>
      <c r="C25" s="8" t="s">
        <v>36</v>
      </c>
      <c r="D25" s="4" t="s">
        <v>18</v>
      </c>
      <c r="E25">
        <v>1</v>
      </c>
      <c r="H25">
        <v>2</v>
      </c>
      <c r="I25">
        <v>2</v>
      </c>
      <c r="J25">
        <v>1</v>
      </c>
      <c r="K25">
        <v>2</v>
      </c>
      <c r="M25">
        <v>2</v>
      </c>
      <c r="O25">
        <v>1</v>
      </c>
    </row>
    <row r="26" spans="1:15" x14ac:dyDescent="0.35">
      <c r="A26" s="4" t="s">
        <v>15</v>
      </c>
      <c r="B26" s="8" t="s">
        <v>42</v>
      </c>
      <c r="C26" s="8" t="s">
        <v>43</v>
      </c>
      <c r="D26" s="4" t="s">
        <v>18</v>
      </c>
    </row>
    <row r="27" spans="1:15" x14ac:dyDescent="0.35">
      <c r="A27" s="4" t="s">
        <v>15</v>
      </c>
      <c r="B27" s="8" t="s">
        <v>32</v>
      </c>
      <c r="C27" s="4" t="s">
        <v>43</v>
      </c>
      <c r="D27" s="4" t="s">
        <v>18</v>
      </c>
      <c r="H27">
        <v>3</v>
      </c>
    </row>
    <row r="28" spans="1:15" x14ac:dyDescent="0.35">
      <c r="A28" s="4" t="s">
        <v>15</v>
      </c>
      <c r="B28" s="8" t="s">
        <v>32</v>
      </c>
      <c r="C28" s="4" t="s">
        <v>44</v>
      </c>
      <c r="D28" s="4" t="s">
        <v>18</v>
      </c>
      <c r="G28">
        <v>1</v>
      </c>
      <c r="H28">
        <v>1</v>
      </c>
      <c r="J28">
        <v>2</v>
      </c>
      <c r="K28">
        <v>1</v>
      </c>
    </row>
    <row r="29" spans="1:15" x14ac:dyDescent="0.35">
      <c r="A29" s="4" t="s">
        <v>15</v>
      </c>
      <c r="B29" s="8" t="s">
        <v>42</v>
      </c>
      <c r="C29" s="8" t="s">
        <v>45</v>
      </c>
      <c r="D29" s="4" t="s">
        <v>18</v>
      </c>
      <c r="F29">
        <v>1</v>
      </c>
    </row>
    <row r="30" spans="1:15" x14ac:dyDescent="0.35">
      <c r="A30" s="7" t="s">
        <v>15</v>
      </c>
      <c r="B30" s="8" t="s">
        <v>35</v>
      </c>
      <c r="C30" s="8" t="s">
        <v>46</v>
      </c>
      <c r="D30" s="4" t="s">
        <v>18</v>
      </c>
      <c r="H30">
        <v>38</v>
      </c>
      <c r="I30">
        <v>10</v>
      </c>
      <c r="J30">
        <v>1</v>
      </c>
      <c r="K30">
        <v>12</v>
      </c>
      <c r="L30">
        <v>76</v>
      </c>
      <c r="M30">
        <v>40</v>
      </c>
    </row>
    <row r="31" spans="1:15" x14ac:dyDescent="0.35">
      <c r="A31" s="6" t="s">
        <v>15</v>
      </c>
      <c r="B31" t="s">
        <v>35</v>
      </c>
      <c r="C31" s="4" t="s">
        <v>46</v>
      </c>
      <c r="D31" s="6" t="s">
        <v>20</v>
      </c>
      <c r="H31">
        <v>32</v>
      </c>
      <c r="I31">
        <v>128</v>
      </c>
      <c r="J31">
        <v>66</v>
      </c>
      <c r="K31">
        <v>117</v>
      </c>
      <c r="L31">
        <v>8</v>
      </c>
    </row>
    <row r="32" spans="1:15" x14ac:dyDescent="0.35">
      <c r="A32" s="6" t="s">
        <v>15</v>
      </c>
      <c r="B32" s="9" t="s">
        <v>35</v>
      </c>
      <c r="C32" s="4" t="s">
        <v>46</v>
      </c>
      <c r="D32" s="6" t="s">
        <v>20</v>
      </c>
    </row>
    <row r="33" spans="1:15" x14ac:dyDescent="0.35">
      <c r="A33" s="4" t="s">
        <v>15</v>
      </c>
      <c r="B33" s="8" t="s">
        <v>35</v>
      </c>
      <c r="C33" s="8" t="s">
        <v>47</v>
      </c>
      <c r="D33" s="4" t="s">
        <v>18</v>
      </c>
      <c r="I33">
        <v>7</v>
      </c>
      <c r="J33">
        <v>3</v>
      </c>
      <c r="K33">
        <v>3</v>
      </c>
      <c r="L33">
        <v>36</v>
      </c>
      <c r="M33">
        <v>66</v>
      </c>
      <c r="N33">
        <v>35</v>
      </c>
    </row>
    <row r="34" spans="1:15" x14ac:dyDescent="0.35">
      <c r="A34" s="6" t="s">
        <v>15</v>
      </c>
      <c r="B34" t="s">
        <v>35</v>
      </c>
      <c r="C34" s="4" t="s">
        <v>47</v>
      </c>
      <c r="D34" s="6" t="s">
        <v>20</v>
      </c>
      <c r="I34">
        <v>41</v>
      </c>
      <c r="J34">
        <v>83</v>
      </c>
      <c r="K34">
        <v>124</v>
      </c>
      <c r="L34">
        <v>10</v>
      </c>
      <c r="M34">
        <v>11</v>
      </c>
      <c r="N34">
        <v>30</v>
      </c>
      <c r="O34">
        <v>27</v>
      </c>
    </row>
    <row r="35" spans="1:15" x14ac:dyDescent="0.35">
      <c r="A35" s="4" t="s">
        <v>15</v>
      </c>
      <c r="B35" s="10" t="s">
        <v>35</v>
      </c>
      <c r="C35" s="8" t="s">
        <v>48</v>
      </c>
      <c r="D35" s="4" t="s">
        <v>18</v>
      </c>
      <c r="M35">
        <v>16</v>
      </c>
      <c r="N35">
        <v>9</v>
      </c>
    </row>
    <row r="36" spans="1:15" x14ac:dyDescent="0.35">
      <c r="A36" s="6" t="s">
        <v>15</v>
      </c>
      <c r="B36" s="9" t="s">
        <v>35</v>
      </c>
      <c r="C36" s="4" t="s">
        <v>48</v>
      </c>
      <c r="D36" s="6" t="s">
        <v>20</v>
      </c>
      <c r="M36">
        <v>4</v>
      </c>
      <c r="N36">
        <v>6</v>
      </c>
      <c r="O36">
        <v>8</v>
      </c>
    </row>
    <row r="37" spans="1:15" x14ac:dyDescent="0.35">
      <c r="A37" s="4" t="s">
        <v>15</v>
      </c>
      <c r="B37" s="10" t="s">
        <v>29</v>
      </c>
      <c r="C37" s="4" t="s">
        <v>49</v>
      </c>
      <c r="D37" s="4" t="s">
        <v>18</v>
      </c>
      <c r="F37">
        <v>1</v>
      </c>
      <c r="G37">
        <v>1</v>
      </c>
    </row>
    <row r="38" spans="1:15" x14ac:dyDescent="0.35">
      <c r="A38" s="4" t="s">
        <v>15</v>
      </c>
      <c r="B38" s="10" t="s">
        <v>29</v>
      </c>
      <c r="C38" s="4" t="s">
        <v>50</v>
      </c>
      <c r="D38" s="4" t="s">
        <v>18</v>
      </c>
      <c r="G38">
        <v>1</v>
      </c>
      <c r="H38">
        <v>1</v>
      </c>
    </row>
    <row r="39" spans="1:15" x14ac:dyDescent="0.35">
      <c r="A39" s="4" t="s">
        <v>15</v>
      </c>
      <c r="B39" s="10" t="s">
        <v>32</v>
      </c>
      <c r="C39" s="4" t="s">
        <v>51</v>
      </c>
      <c r="D39" s="4" t="s">
        <v>18</v>
      </c>
      <c r="G39">
        <v>1</v>
      </c>
    </row>
    <row r="40" spans="1:15" x14ac:dyDescent="0.35">
      <c r="A40" s="6" t="s">
        <v>15</v>
      </c>
      <c r="B40" s="9" t="s">
        <v>29</v>
      </c>
      <c r="C40" s="4" t="s">
        <v>52</v>
      </c>
      <c r="D40" s="6" t="s">
        <v>20</v>
      </c>
      <c r="N40">
        <v>6</v>
      </c>
    </row>
    <row r="41" spans="1:15" x14ac:dyDescent="0.35">
      <c r="A41" s="4" t="s">
        <v>15</v>
      </c>
      <c r="B41" s="8" t="s">
        <v>53</v>
      </c>
      <c r="C41" s="10" t="s">
        <v>54</v>
      </c>
      <c r="D41" s="4" t="s">
        <v>18</v>
      </c>
      <c r="K41">
        <v>1</v>
      </c>
    </row>
    <row r="42" spans="1:15" x14ac:dyDescent="0.35">
      <c r="A42" s="7" t="s">
        <v>15</v>
      </c>
      <c r="B42" s="8" t="s">
        <v>29</v>
      </c>
      <c r="C42" s="7" t="s">
        <v>55</v>
      </c>
      <c r="D42" s="4" t="s">
        <v>18</v>
      </c>
      <c r="J42">
        <v>1</v>
      </c>
      <c r="K42">
        <v>1</v>
      </c>
      <c r="L42">
        <v>2</v>
      </c>
      <c r="N42">
        <v>1</v>
      </c>
    </row>
    <row r="43" spans="1:15" x14ac:dyDescent="0.35">
      <c r="A43" s="11" t="s">
        <v>15</v>
      </c>
      <c r="B43" s="3" t="s">
        <v>29</v>
      </c>
      <c r="C43" s="12" t="s">
        <v>55</v>
      </c>
      <c r="D43" s="11" t="s">
        <v>20</v>
      </c>
      <c r="E43" s="3"/>
      <c r="F43" s="3"/>
      <c r="G43" s="3"/>
      <c r="H43" s="3"/>
      <c r="I43" s="3"/>
      <c r="J43" s="3">
        <v>2</v>
      </c>
      <c r="K43" s="3">
        <v>6</v>
      </c>
      <c r="L43" s="3">
        <v>1</v>
      </c>
      <c r="M43" s="3">
        <v>1</v>
      </c>
      <c r="N43" s="3"/>
      <c r="O43" s="3"/>
    </row>
    <row r="44" spans="1:15" x14ac:dyDescent="0.35">
      <c r="A44" s="12" t="s">
        <v>15</v>
      </c>
      <c r="B44" s="13" t="s">
        <v>32</v>
      </c>
      <c r="C44" s="12" t="s">
        <v>56</v>
      </c>
      <c r="D44" s="12" t="s">
        <v>18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v>1</v>
      </c>
    </row>
    <row r="45" spans="1:15" x14ac:dyDescent="0.35">
      <c r="A45" s="12" t="s">
        <v>15</v>
      </c>
      <c r="B45" s="13" t="s">
        <v>29</v>
      </c>
      <c r="C45" s="12" t="s">
        <v>57</v>
      </c>
      <c r="D45" s="12" t="s">
        <v>18</v>
      </c>
      <c r="E45" s="3"/>
      <c r="F45" s="3">
        <v>2</v>
      </c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35">
      <c r="A46" s="11" t="s">
        <v>15</v>
      </c>
      <c r="B46" s="3" t="s">
        <v>29</v>
      </c>
      <c r="C46" s="12" t="s">
        <v>58</v>
      </c>
      <c r="D46" s="11" t="s">
        <v>20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35">
      <c r="A47" s="12" t="s">
        <v>15</v>
      </c>
      <c r="B47" s="13" t="s">
        <v>29</v>
      </c>
      <c r="C47" s="12" t="s">
        <v>59</v>
      </c>
      <c r="D47" s="12" t="s">
        <v>18</v>
      </c>
      <c r="E47" s="3"/>
      <c r="F47" s="3"/>
      <c r="G47" s="3"/>
      <c r="H47" s="3"/>
      <c r="I47" s="3">
        <v>1</v>
      </c>
      <c r="J47" s="3"/>
      <c r="K47" s="3"/>
      <c r="L47" s="3"/>
      <c r="M47" s="3"/>
      <c r="N47" s="3"/>
      <c r="O47" s="3"/>
    </row>
    <row r="48" spans="1:15" x14ac:dyDescent="0.35">
      <c r="A48" s="11" t="s">
        <v>15</v>
      </c>
      <c r="B48" s="3" t="s">
        <v>29</v>
      </c>
      <c r="C48" s="12" t="s">
        <v>59</v>
      </c>
      <c r="D48" s="11" t="s">
        <v>20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5">
      <c r="A49" s="12" t="s">
        <v>15</v>
      </c>
      <c r="B49" s="13" t="s">
        <v>29</v>
      </c>
      <c r="C49" s="12" t="s">
        <v>60</v>
      </c>
      <c r="D49" s="12" t="s">
        <v>18</v>
      </c>
      <c r="E49" s="3"/>
      <c r="F49" s="3"/>
      <c r="G49" s="3">
        <v>1</v>
      </c>
      <c r="H49" s="3"/>
      <c r="I49" s="3">
        <v>2</v>
      </c>
      <c r="J49" s="3">
        <v>1</v>
      </c>
      <c r="K49" s="3">
        <v>1</v>
      </c>
      <c r="L49" s="3">
        <v>1</v>
      </c>
      <c r="M49" s="3">
        <v>2</v>
      </c>
      <c r="N49" s="3"/>
      <c r="O49" s="3">
        <v>1</v>
      </c>
    </row>
    <row r="50" spans="1:15" x14ac:dyDescent="0.35">
      <c r="A50" s="11" t="s">
        <v>15</v>
      </c>
      <c r="B50" s="3" t="s">
        <v>29</v>
      </c>
      <c r="C50" s="12" t="s">
        <v>60</v>
      </c>
      <c r="D50" s="11" t="s">
        <v>20</v>
      </c>
      <c r="E50" s="3">
        <v>1</v>
      </c>
      <c r="F50" s="3">
        <v>6</v>
      </c>
      <c r="G50" s="3">
        <v>7</v>
      </c>
      <c r="H50" s="3">
        <v>3</v>
      </c>
      <c r="I50" s="3">
        <v>2</v>
      </c>
      <c r="J50" s="3">
        <v>4</v>
      </c>
      <c r="K50" s="3">
        <v>9</v>
      </c>
      <c r="L50" s="3">
        <v>8</v>
      </c>
      <c r="M50" s="3">
        <v>7</v>
      </c>
      <c r="N50" s="3">
        <v>6</v>
      </c>
      <c r="O50" s="3">
        <v>1</v>
      </c>
    </row>
    <row r="51" spans="1:15" x14ac:dyDescent="0.35">
      <c r="A51" s="12" t="s">
        <v>15</v>
      </c>
      <c r="B51" s="13" t="s">
        <v>53</v>
      </c>
      <c r="C51" s="13" t="s">
        <v>61</v>
      </c>
      <c r="D51" s="12" t="s">
        <v>18</v>
      </c>
      <c r="E51" s="3">
        <v>1</v>
      </c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5">
      <c r="A52" s="11" t="s">
        <v>15</v>
      </c>
      <c r="B52" s="3" t="s">
        <v>39</v>
      </c>
      <c r="C52" s="12" t="s">
        <v>62</v>
      </c>
      <c r="D52" s="11" t="s">
        <v>20</v>
      </c>
      <c r="E52" s="3"/>
      <c r="F52" s="3"/>
      <c r="G52" s="3"/>
      <c r="H52" s="3"/>
      <c r="I52" s="3"/>
      <c r="J52" s="3">
        <v>1</v>
      </c>
      <c r="K52" s="3"/>
      <c r="L52" s="3">
        <v>1</v>
      </c>
      <c r="M52" s="3">
        <v>125</v>
      </c>
      <c r="N52" s="3">
        <v>270</v>
      </c>
      <c r="O52" s="3"/>
    </row>
    <row r="53" spans="1:15" x14ac:dyDescent="0.35">
      <c r="A53" s="11" t="s">
        <v>34</v>
      </c>
      <c r="B53" s="11" t="s">
        <v>63</v>
      </c>
      <c r="C53" s="12" t="s">
        <v>63</v>
      </c>
      <c r="D53" s="11" t="s">
        <v>20</v>
      </c>
      <c r="E53" s="3"/>
      <c r="F53" s="3"/>
      <c r="G53" s="3"/>
      <c r="H53" s="3"/>
      <c r="I53" s="3"/>
      <c r="J53" s="3">
        <v>5</v>
      </c>
      <c r="K53" s="3"/>
      <c r="L53" s="3"/>
      <c r="M53" s="3"/>
      <c r="N53" s="3"/>
      <c r="O53" s="3"/>
    </row>
    <row r="54" spans="1:15" x14ac:dyDescent="0.35">
      <c r="A54" s="11" t="s">
        <v>15</v>
      </c>
      <c r="B54" s="3" t="s">
        <v>29</v>
      </c>
      <c r="C54" s="12" t="s">
        <v>64</v>
      </c>
      <c r="D54" s="11" t="s">
        <v>20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v>1</v>
      </c>
    </row>
    <row r="55" spans="1:15" x14ac:dyDescent="0.35">
      <c r="A55" s="12" t="s">
        <v>15</v>
      </c>
      <c r="B55" s="13" t="s">
        <v>29</v>
      </c>
      <c r="C55" s="12" t="s">
        <v>65</v>
      </c>
      <c r="D55" s="12" t="s">
        <v>18</v>
      </c>
      <c r="E55" s="3"/>
      <c r="F55" s="3">
        <v>4</v>
      </c>
      <c r="G55" s="3">
        <v>2</v>
      </c>
      <c r="H55" s="3">
        <v>5</v>
      </c>
      <c r="I55" s="3">
        <v>1</v>
      </c>
      <c r="J55" s="3">
        <v>3</v>
      </c>
      <c r="K55" s="3">
        <v>4</v>
      </c>
      <c r="L55" s="3">
        <v>4</v>
      </c>
      <c r="M55" s="3">
        <v>5</v>
      </c>
      <c r="N55" s="3">
        <v>3</v>
      </c>
      <c r="O55" s="3">
        <v>5</v>
      </c>
    </row>
    <row r="56" spans="1:15" x14ac:dyDescent="0.35">
      <c r="A56" s="11" t="s">
        <v>15</v>
      </c>
      <c r="B56" s="3" t="s">
        <v>29</v>
      </c>
      <c r="C56" s="12" t="s">
        <v>65</v>
      </c>
      <c r="D56" s="11" t="s">
        <v>20</v>
      </c>
      <c r="E56" s="3"/>
      <c r="F56" s="3"/>
      <c r="G56" s="3">
        <v>2</v>
      </c>
      <c r="H56" s="3">
        <v>2</v>
      </c>
      <c r="I56" s="3">
        <v>1</v>
      </c>
      <c r="J56" s="3">
        <v>1</v>
      </c>
      <c r="K56" s="3">
        <v>4</v>
      </c>
      <c r="L56" s="3">
        <v>3</v>
      </c>
      <c r="M56" s="3">
        <v>2</v>
      </c>
      <c r="N56" s="3">
        <v>2</v>
      </c>
      <c r="O56" s="3">
        <v>1</v>
      </c>
    </row>
    <row r="57" spans="1:15" x14ac:dyDescent="0.35">
      <c r="A57" s="12" t="s">
        <v>15</v>
      </c>
      <c r="B57" s="13" t="s">
        <v>35</v>
      </c>
      <c r="C57" s="13" t="s">
        <v>66</v>
      </c>
      <c r="D57" s="12" t="s">
        <v>18</v>
      </c>
      <c r="E57" s="3"/>
      <c r="F57" s="3"/>
      <c r="G57" s="3"/>
      <c r="H57" s="3"/>
      <c r="I57" s="3"/>
      <c r="J57" s="3"/>
      <c r="K57" s="3">
        <v>1</v>
      </c>
      <c r="L57" s="3">
        <v>8</v>
      </c>
      <c r="M57" s="3">
        <v>4</v>
      </c>
      <c r="N57" s="3">
        <v>6</v>
      </c>
      <c r="O57" s="3"/>
    </row>
    <row r="58" spans="1:15" x14ac:dyDescent="0.35">
      <c r="A58" s="11" t="s">
        <v>15</v>
      </c>
      <c r="B58" s="3" t="s">
        <v>35</v>
      </c>
      <c r="C58" s="12" t="s">
        <v>66</v>
      </c>
      <c r="D58" s="11" t="s">
        <v>20</v>
      </c>
      <c r="E58" s="3"/>
      <c r="F58" s="3"/>
      <c r="G58" s="3"/>
      <c r="H58" s="3"/>
      <c r="I58" s="3"/>
      <c r="J58" s="3"/>
      <c r="K58" s="3">
        <v>6</v>
      </c>
      <c r="L58" s="3">
        <v>1</v>
      </c>
      <c r="M58" s="3">
        <v>2</v>
      </c>
      <c r="N58" s="3">
        <v>3</v>
      </c>
      <c r="O58" s="3">
        <v>2</v>
      </c>
    </row>
    <row r="59" spans="1:15" x14ac:dyDescent="0.35">
      <c r="A59" s="11" t="s">
        <v>15</v>
      </c>
      <c r="B59" s="3" t="s">
        <v>29</v>
      </c>
      <c r="C59" s="12" t="s">
        <v>67</v>
      </c>
      <c r="D59" s="11" t="s">
        <v>20</v>
      </c>
      <c r="E59" s="3"/>
      <c r="F59" s="3"/>
      <c r="G59" s="3">
        <v>1</v>
      </c>
      <c r="H59" s="3"/>
      <c r="I59" s="3"/>
      <c r="J59" s="3"/>
      <c r="K59" s="3"/>
      <c r="L59" s="3"/>
      <c r="M59" s="3"/>
      <c r="N59" s="3"/>
      <c r="O59" s="3"/>
    </row>
    <row r="60" spans="1:15" x14ac:dyDescent="0.35">
      <c r="A60" s="12" t="s">
        <v>34</v>
      </c>
      <c r="B60" s="12" t="s">
        <v>68</v>
      </c>
      <c r="C60" s="13"/>
      <c r="D60" s="12" t="s">
        <v>18</v>
      </c>
      <c r="E60" s="3">
        <v>164</v>
      </c>
      <c r="F60" s="3">
        <v>177</v>
      </c>
      <c r="G60" s="3">
        <v>150</v>
      </c>
      <c r="H60" s="3">
        <v>436</v>
      </c>
      <c r="I60" s="3">
        <v>345</v>
      </c>
      <c r="J60" s="3">
        <v>79</v>
      </c>
      <c r="K60" s="3">
        <v>29</v>
      </c>
      <c r="L60" s="3">
        <v>5</v>
      </c>
      <c r="M60" s="3">
        <v>21</v>
      </c>
      <c r="N60" s="3">
        <v>19</v>
      </c>
      <c r="O60" s="3">
        <v>4</v>
      </c>
    </row>
    <row r="61" spans="1:15" x14ac:dyDescent="0.35">
      <c r="A61" s="12" t="s">
        <v>34</v>
      </c>
      <c r="B61" s="12" t="s">
        <v>69</v>
      </c>
      <c r="C61" s="14"/>
      <c r="D61" s="12"/>
      <c r="E61" s="3"/>
      <c r="F61" s="3"/>
      <c r="G61" s="3"/>
      <c r="H61" s="3"/>
      <c r="I61" s="3"/>
      <c r="J61" s="3">
        <v>2</v>
      </c>
      <c r="K61" s="3"/>
      <c r="L61" s="3"/>
      <c r="M61" s="3"/>
      <c r="N61" s="3"/>
      <c r="O6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366D-312A-4620-A341-F24EDAB16DF2}">
  <dimension ref="A1:P64"/>
  <sheetViews>
    <sheetView tabSelected="1" workbookViewId="0">
      <selection activeCell="M7" sqref="M7"/>
    </sheetView>
  </sheetViews>
  <sheetFormatPr defaultRowHeight="14.5" x14ac:dyDescent="0.35"/>
  <cols>
    <col min="2" max="2" width="23.6328125" bestFit="1" customWidth="1"/>
    <col min="3" max="3" width="23.6328125" customWidth="1"/>
    <col min="4" max="4" width="43.90625" customWidth="1"/>
  </cols>
  <sheetData>
    <row r="1" spans="1:16" x14ac:dyDescent="0.35">
      <c r="A1" s="3"/>
      <c r="B1" s="3"/>
      <c r="C1" s="3"/>
      <c r="D1" s="3"/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6" x14ac:dyDescent="0.35">
      <c r="A2" s="17" t="s">
        <v>15</v>
      </c>
      <c r="B2" s="3" t="s">
        <v>35</v>
      </c>
      <c r="C2" s="3" t="s">
        <v>82</v>
      </c>
      <c r="D2" s="3" t="s">
        <v>46</v>
      </c>
      <c r="E2" s="3"/>
      <c r="F2" s="3"/>
      <c r="G2" s="3"/>
      <c r="H2" s="3">
        <v>66</v>
      </c>
      <c r="I2" s="3">
        <v>137</v>
      </c>
      <c r="J2" s="3">
        <v>68</v>
      </c>
      <c r="K2" s="3">
        <v>145</v>
      </c>
      <c r="L2" s="3">
        <v>103</v>
      </c>
      <c r="M2" s="3">
        <v>4</v>
      </c>
      <c r="N2" s="3"/>
      <c r="O2" s="3"/>
      <c r="P2">
        <f>SUM(E2:O2)</f>
        <v>523</v>
      </c>
    </row>
    <row r="3" spans="1:16" x14ac:dyDescent="0.35">
      <c r="A3" s="17" t="s">
        <v>15</v>
      </c>
      <c r="B3" s="3" t="s">
        <v>35</v>
      </c>
      <c r="C3" s="3" t="s">
        <v>82</v>
      </c>
      <c r="D3" s="3" t="s">
        <v>47</v>
      </c>
      <c r="E3" s="3"/>
      <c r="F3" s="3"/>
      <c r="G3" s="3"/>
      <c r="H3" s="3"/>
      <c r="I3" s="3">
        <v>49</v>
      </c>
      <c r="J3" s="3">
        <v>86</v>
      </c>
      <c r="K3" s="3">
        <v>128</v>
      </c>
      <c r="L3" s="3">
        <v>77</v>
      </c>
      <c r="M3" s="3">
        <v>48</v>
      </c>
      <c r="N3" s="3">
        <v>63</v>
      </c>
      <c r="O3" s="3">
        <v>27</v>
      </c>
      <c r="P3">
        <f t="shared" ref="P3:P21" si="0">SUM(E3:O3)</f>
        <v>478</v>
      </c>
    </row>
    <row r="4" spans="1:16" x14ac:dyDescent="0.35">
      <c r="A4" s="17" t="s">
        <v>15</v>
      </c>
      <c r="B4" s="3" t="s">
        <v>35</v>
      </c>
      <c r="C4" s="3" t="s">
        <v>82</v>
      </c>
      <c r="D4" s="3" t="s">
        <v>48</v>
      </c>
      <c r="E4" s="3"/>
      <c r="F4" s="3"/>
      <c r="G4" s="3"/>
      <c r="H4" s="3"/>
      <c r="I4" s="3"/>
      <c r="J4" s="3"/>
      <c r="K4" s="3"/>
      <c r="L4" s="3"/>
      <c r="M4" s="3">
        <v>23</v>
      </c>
      <c r="N4" s="3">
        <v>15</v>
      </c>
      <c r="O4" s="3">
        <v>8</v>
      </c>
      <c r="P4">
        <f t="shared" si="0"/>
        <v>46</v>
      </c>
    </row>
    <row r="5" spans="1:16" x14ac:dyDescent="0.35">
      <c r="A5" s="17" t="s">
        <v>15</v>
      </c>
      <c r="B5" s="3" t="s">
        <v>35</v>
      </c>
      <c r="C5" s="3" t="s">
        <v>82</v>
      </c>
      <c r="D5" s="3" t="s">
        <v>66</v>
      </c>
      <c r="E5" s="3"/>
      <c r="F5" s="3"/>
      <c r="G5" s="3"/>
      <c r="H5" s="3"/>
      <c r="I5" s="3"/>
      <c r="J5" s="3"/>
      <c r="K5" s="3">
        <v>10</v>
      </c>
      <c r="L5" s="3">
        <v>6</v>
      </c>
      <c r="M5" s="3">
        <v>6</v>
      </c>
      <c r="N5" s="3">
        <v>9</v>
      </c>
      <c r="O5" s="3">
        <v>2</v>
      </c>
      <c r="P5">
        <f t="shared" si="0"/>
        <v>33</v>
      </c>
    </row>
    <row r="6" spans="1:16" x14ac:dyDescent="0.35">
      <c r="A6" s="17" t="s">
        <v>15</v>
      </c>
      <c r="B6" s="3" t="s">
        <v>35</v>
      </c>
      <c r="C6" s="3" t="s">
        <v>82</v>
      </c>
      <c r="D6" s="3" t="s">
        <v>46</v>
      </c>
      <c r="E6" s="3"/>
      <c r="F6" s="3"/>
      <c r="G6" s="3"/>
      <c r="H6" s="3">
        <v>2</v>
      </c>
      <c r="I6" s="3"/>
      <c r="J6" s="3"/>
      <c r="K6" s="3"/>
      <c r="L6" s="3"/>
      <c r="M6" s="3"/>
      <c r="N6" s="3"/>
      <c r="O6" s="3"/>
      <c r="P6">
        <f t="shared" si="0"/>
        <v>2</v>
      </c>
    </row>
    <row r="7" spans="1:16" x14ac:dyDescent="0.35">
      <c r="A7" s="17" t="s">
        <v>15</v>
      </c>
      <c r="B7" s="3" t="s">
        <v>39</v>
      </c>
      <c r="C7" s="3" t="s">
        <v>82</v>
      </c>
      <c r="D7" s="3" t="s">
        <v>62</v>
      </c>
      <c r="E7" s="3"/>
      <c r="F7" s="3"/>
      <c r="G7" s="3"/>
      <c r="H7" s="3"/>
      <c r="I7" s="3"/>
      <c r="J7" s="3">
        <v>1</v>
      </c>
      <c r="K7" s="3"/>
      <c r="L7" s="3">
        <v>1</v>
      </c>
      <c r="M7" s="3">
        <v>125</v>
      </c>
      <c r="N7" s="3">
        <v>270</v>
      </c>
      <c r="O7" s="3"/>
      <c r="P7">
        <f t="shared" si="0"/>
        <v>397</v>
      </c>
    </row>
    <row r="8" spans="1:16" x14ac:dyDescent="0.35">
      <c r="A8" s="17" t="s">
        <v>15</v>
      </c>
      <c r="B8" s="3" t="s">
        <v>29</v>
      </c>
      <c r="C8" s="3" t="s">
        <v>82</v>
      </c>
      <c r="D8" s="11" t="s">
        <v>30</v>
      </c>
      <c r="E8" s="3"/>
      <c r="F8" s="3"/>
      <c r="G8" s="3">
        <v>2</v>
      </c>
      <c r="H8" s="3">
        <v>40</v>
      </c>
      <c r="I8" s="3">
        <v>14</v>
      </c>
      <c r="J8" s="3">
        <v>6</v>
      </c>
      <c r="K8" s="3">
        <v>1</v>
      </c>
      <c r="L8" s="3"/>
      <c r="M8" s="3"/>
      <c r="N8" s="3"/>
      <c r="O8" s="3"/>
      <c r="P8">
        <f t="shared" si="0"/>
        <v>63</v>
      </c>
    </row>
    <row r="9" spans="1:16" x14ac:dyDescent="0.35">
      <c r="A9" s="17" t="s">
        <v>15</v>
      </c>
      <c r="B9" s="3" t="s">
        <v>29</v>
      </c>
      <c r="C9" s="3" t="s">
        <v>82</v>
      </c>
      <c r="D9" s="11" t="s">
        <v>31</v>
      </c>
      <c r="E9" s="3"/>
      <c r="F9" s="3"/>
      <c r="G9" s="3"/>
      <c r="H9" s="3">
        <v>8</v>
      </c>
      <c r="I9" s="3">
        <v>3</v>
      </c>
      <c r="J9" s="3">
        <v>1</v>
      </c>
      <c r="K9" s="3">
        <v>4</v>
      </c>
      <c r="L9" s="3">
        <v>1</v>
      </c>
      <c r="M9" s="3">
        <v>1</v>
      </c>
      <c r="N9" s="3"/>
      <c r="O9" s="3"/>
      <c r="P9">
        <f t="shared" si="0"/>
        <v>18</v>
      </c>
    </row>
    <row r="10" spans="1:16" x14ac:dyDescent="0.35">
      <c r="A10" s="17" t="s">
        <v>15</v>
      </c>
      <c r="B10" s="3" t="s">
        <v>29</v>
      </c>
      <c r="C10" s="3" t="s">
        <v>82</v>
      </c>
      <c r="D10" s="11" t="s">
        <v>52</v>
      </c>
      <c r="E10" s="3"/>
      <c r="F10" s="3"/>
      <c r="G10" s="3"/>
      <c r="H10" s="3"/>
      <c r="I10" s="3"/>
      <c r="J10" s="3"/>
      <c r="K10" s="3"/>
      <c r="L10" s="3"/>
      <c r="M10" s="3"/>
      <c r="N10" s="3">
        <v>6</v>
      </c>
      <c r="O10" s="3"/>
      <c r="P10">
        <f t="shared" si="0"/>
        <v>6</v>
      </c>
    </row>
    <row r="11" spans="1:16" x14ac:dyDescent="0.35">
      <c r="A11" s="17" t="s">
        <v>15</v>
      </c>
      <c r="B11" s="3" t="s">
        <v>29</v>
      </c>
      <c r="C11" s="3" t="s">
        <v>82</v>
      </c>
      <c r="D11" s="11" t="s">
        <v>55</v>
      </c>
      <c r="E11" s="3"/>
      <c r="F11" s="3"/>
      <c r="G11" s="3"/>
      <c r="H11" s="3"/>
      <c r="I11" s="3"/>
      <c r="J11" s="3">
        <v>4</v>
      </c>
      <c r="K11" s="3">
        <v>11</v>
      </c>
      <c r="L11" s="3">
        <v>4</v>
      </c>
      <c r="M11" s="3">
        <v>1</v>
      </c>
      <c r="N11" s="3">
        <v>2</v>
      </c>
      <c r="O11" s="3"/>
      <c r="P11">
        <f t="shared" si="0"/>
        <v>22</v>
      </c>
    </row>
    <row r="12" spans="1:16" x14ac:dyDescent="0.35">
      <c r="A12" s="17" t="s">
        <v>15</v>
      </c>
      <c r="B12" s="3" t="s">
        <v>29</v>
      </c>
      <c r="C12" s="3" t="s">
        <v>82</v>
      </c>
      <c r="D12" s="11" t="s">
        <v>58</v>
      </c>
      <c r="E12" s="3"/>
      <c r="F12" s="3"/>
      <c r="G12" s="3">
        <v>2</v>
      </c>
      <c r="H12" s="3"/>
      <c r="I12" s="3"/>
      <c r="J12" s="3"/>
      <c r="K12" s="3"/>
      <c r="L12" s="3"/>
      <c r="M12" s="3"/>
      <c r="N12" s="3"/>
      <c r="O12" s="3"/>
      <c r="P12">
        <f t="shared" si="0"/>
        <v>2</v>
      </c>
    </row>
    <row r="13" spans="1:16" x14ac:dyDescent="0.35">
      <c r="A13" s="17" t="s">
        <v>15</v>
      </c>
      <c r="B13" s="3" t="s">
        <v>29</v>
      </c>
      <c r="C13" s="3" t="s">
        <v>82</v>
      </c>
      <c r="D13" s="11" t="s">
        <v>59</v>
      </c>
      <c r="E13" s="3"/>
      <c r="F13" s="3"/>
      <c r="G13" s="3"/>
      <c r="H13" s="3"/>
      <c r="I13" s="3">
        <v>1</v>
      </c>
      <c r="J13" s="3">
        <v>1</v>
      </c>
      <c r="K13" s="3"/>
      <c r="L13" s="3"/>
      <c r="M13" s="3">
        <v>1</v>
      </c>
      <c r="N13" s="3">
        <v>2</v>
      </c>
      <c r="O13" s="3"/>
      <c r="P13">
        <f t="shared" si="0"/>
        <v>5</v>
      </c>
    </row>
    <row r="14" spans="1:16" x14ac:dyDescent="0.35">
      <c r="A14" s="17" t="s">
        <v>15</v>
      </c>
      <c r="B14" s="3" t="s">
        <v>29</v>
      </c>
      <c r="C14" s="3" t="s">
        <v>82</v>
      </c>
      <c r="D14" s="11" t="s">
        <v>60</v>
      </c>
      <c r="E14" s="3">
        <v>2</v>
      </c>
      <c r="F14" s="3">
        <v>17</v>
      </c>
      <c r="G14" s="3">
        <v>8</v>
      </c>
      <c r="H14" s="3">
        <v>3</v>
      </c>
      <c r="I14" s="3">
        <v>4</v>
      </c>
      <c r="J14" s="3">
        <v>6</v>
      </c>
      <c r="K14" s="3">
        <v>11</v>
      </c>
      <c r="L14" s="3">
        <v>10</v>
      </c>
      <c r="M14" s="3">
        <v>9</v>
      </c>
      <c r="N14" s="3">
        <v>8</v>
      </c>
      <c r="O14" s="3">
        <v>1</v>
      </c>
      <c r="P14">
        <f t="shared" si="0"/>
        <v>79</v>
      </c>
    </row>
    <row r="15" spans="1:16" x14ac:dyDescent="0.35">
      <c r="A15" s="17" t="s">
        <v>15</v>
      </c>
      <c r="B15" s="3" t="s">
        <v>29</v>
      </c>
      <c r="C15" s="3" t="s">
        <v>82</v>
      </c>
      <c r="D15" s="11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v>1</v>
      </c>
      <c r="P15">
        <f t="shared" si="0"/>
        <v>1</v>
      </c>
    </row>
    <row r="16" spans="1:16" x14ac:dyDescent="0.35">
      <c r="A16" s="17" t="s">
        <v>15</v>
      </c>
      <c r="B16" s="3" t="s">
        <v>29</v>
      </c>
      <c r="C16" s="3" t="s">
        <v>82</v>
      </c>
      <c r="D16" s="11" t="s">
        <v>65</v>
      </c>
      <c r="E16" s="3"/>
      <c r="F16" s="3">
        <v>3</v>
      </c>
      <c r="G16" s="3">
        <v>3</v>
      </c>
      <c r="H16" s="3">
        <v>10</v>
      </c>
      <c r="I16" s="3">
        <v>3</v>
      </c>
      <c r="J16" s="3">
        <v>7</v>
      </c>
      <c r="K16" s="3">
        <v>14</v>
      </c>
      <c r="L16" s="3">
        <v>9</v>
      </c>
      <c r="M16" s="3">
        <v>8</v>
      </c>
      <c r="N16" s="3">
        <v>10</v>
      </c>
      <c r="O16" s="3">
        <v>3</v>
      </c>
      <c r="P16">
        <f t="shared" si="0"/>
        <v>70</v>
      </c>
    </row>
    <row r="17" spans="1:16" x14ac:dyDescent="0.35">
      <c r="A17" s="17" t="s">
        <v>15</v>
      </c>
      <c r="B17" s="3" t="s">
        <v>29</v>
      </c>
      <c r="C17" s="3" t="s">
        <v>82</v>
      </c>
      <c r="D17" s="11" t="s">
        <v>67</v>
      </c>
      <c r="E17" s="3"/>
      <c r="F17" s="3"/>
      <c r="G17" s="3">
        <v>1</v>
      </c>
      <c r="H17" s="3"/>
      <c r="I17" s="3"/>
      <c r="J17" s="3"/>
      <c r="K17" s="3"/>
      <c r="L17" s="3"/>
      <c r="M17" s="3"/>
      <c r="N17" s="3"/>
      <c r="O17" s="3"/>
      <c r="P17">
        <f t="shared" si="0"/>
        <v>1</v>
      </c>
    </row>
    <row r="18" spans="1:16" x14ac:dyDescent="0.35">
      <c r="A18" s="17" t="s">
        <v>15</v>
      </c>
      <c r="B18" s="3" t="s">
        <v>19</v>
      </c>
      <c r="C18" s="3" t="s">
        <v>82</v>
      </c>
      <c r="D18" s="3" t="s">
        <v>17</v>
      </c>
      <c r="E18" s="3"/>
      <c r="F18" s="3">
        <v>2</v>
      </c>
      <c r="G18" s="3"/>
      <c r="H18" s="3"/>
      <c r="I18" s="3"/>
      <c r="J18" s="3"/>
      <c r="K18" s="3"/>
      <c r="L18" s="3"/>
      <c r="M18" s="3"/>
      <c r="N18" s="3"/>
      <c r="O18" s="3"/>
      <c r="P18">
        <f t="shared" si="0"/>
        <v>2</v>
      </c>
    </row>
    <row r="19" spans="1:16" x14ac:dyDescent="0.35">
      <c r="A19" s="17" t="s">
        <v>15</v>
      </c>
      <c r="B19" s="3" t="s">
        <v>19</v>
      </c>
      <c r="C19" s="3" t="s">
        <v>82</v>
      </c>
      <c r="D19" s="3" t="s">
        <v>24</v>
      </c>
      <c r="E19" s="3"/>
      <c r="F19" s="3"/>
      <c r="G19" s="3"/>
      <c r="H19" s="3"/>
      <c r="I19" s="3"/>
      <c r="J19" s="3">
        <v>2</v>
      </c>
      <c r="K19" s="3"/>
      <c r="L19" s="3"/>
      <c r="M19" s="3"/>
      <c r="N19" s="3"/>
      <c r="O19" s="3"/>
      <c r="P19">
        <f t="shared" si="0"/>
        <v>2</v>
      </c>
    </row>
    <row r="20" spans="1:16" x14ac:dyDescent="0.35">
      <c r="A20" s="17" t="s">
        <v>15</v>
      </c>
      <c r="B20" s="3" t="s">
        <v>19</v>
      </c>
      <c r="C20" s="3" t="s">
        <v>82</v>
      </c>
      <c r="D20" s="3" t="s">
        <v>24</v>
      </c>
      <c r="E20" s="3"/>
      <c r="F20" s="3"/>
      <c r="G20" s="3"/>
      <c r="H20" s="3"/>
      <c r="I20" s="3"/>
      <c r="J20" s="3">
        <v>4</v>
      </c>
      <c r="K20" s="3"/>
      <c r="L20" s="3"/>
      <c r="M20" s="3"/>
      <c r="N20" s="3"/>
      <c r="O20" s="3"/>
      <c r="P20">
        <f t="shared" si="0"/>
        <v>4</v>
      </c>
    </row>
    <row r="21" spans="1:16" x14ac:dyDescent="0.35">
      <c r="A21" s="17" t="s">
        <v>34</v>
      </c>
      <c r="B21" s="11" t="s">
        <v>63</v>
      </c>
      <c r="C21" s="3" t="s">
        <v>82</v>
      </c>
      <c r="D21" s="11" t="s">
        <v>63</v>
      </c>
      <c r="E21" s="3"/>
      <c r="F21" s="3"/>
      <c r="G21" s="3"/>
      <c r="H21" s="3"/>
      <c r="I21" s="3"/>
      <c r="J21" s="3">
        <v>6</v>
      </c>
      <c r="K21" s="3"/>
      <c r="L21" s="3"/>
      <c r="M21" s="3"/>
      <c r="N21" s="3">
        <v>1</v>
      </c>
      <c r="O21" s="3"/>
      <c r="P21">
        <f t="shared" si="0"/>
        <v>7</v>
      </c>
    </row>
    <row r="22" spans="1:16" x14ac:dyDescent="0.35">
      <c r="E22">
        <f t="shared" ref="E22:O22" si="1">SUM(E2:E21)</f>
        <v>2</v>
      </c>
      <c r="F22">
        <f t="shared" si="1"/>
        <v>22</v>
      </c>
      <c r="G22">
        <f t="shared" si="1"/>
        <v>16</v>
      </c>
      <c r="H22">
        <f t="shared" si="1"/>
        <v>129</v>
      </c>
      <c r="I22">
        <f t="shared" si="1"/>
        <v>211</v>
      </c>
      <c r="J22">
        <f t="shared" si="1"/>
        <v>192</v>
      </c>
      <c r="K22">
        <f t="shared" si="1"/>
        <v>324</v>
      </c>
      <c r="L22">
        <f t="shared" si="1"/>
        <v>211</v>
      </c>
      <c r="M22">
        <f t="shared" si="1"/>
        <v>226</v>
      </c>
      <c r="N22">
        <f t="shared" si="1"/>
        <v>386</v>
      </c>
      <c r="O22">
        <f t="shared" si="1"/>
        <v>42</v>
      </c>
    </row>
    <row r="25" spans="1:16" x14ac:dyDescent="0.35"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  <c r="L25" s="3" t="s">
        <v>11</v>
      </c>
      <c r="M25" s="3" t="s">
        <v>12</v>
      </c>
      <c r="N25" s="3" t="s">
        <v>13</v>
      </c>
      <c r="O25" s="3" t="s">
        <v>14</v>
      </c>
    </row>
    <row r="26" spans="1:16" x14ac:dyDescent="0.35">
      <c r="A26" s="17" t="s">
        <v>15</v>
      </c>
      <c r="B26" s="3" t="s">
        <v>35</v>
      </c>
      <c r="C26" s="3" t="s">
        <v>83</v>
      </c>
      <c r="D26" s="3" t="s">
        <v>46</v>
      </c>
      <c r="E26" s="3"/>
      <c r="F26" s="3"/>
      <c r="G26" s="3"/>
      <c r="H26" s="3">
        <v>32</v>
      </c>
      <c r="I26" s="3">
        <v>128</v>
      </c>
      <c r="J26" s="3">
        <v>66</v>
      </c>
      <c r="K26" s="3">
        <v>117</v>
      </c>
      <c r="L26" s="3">
        <v>8</v>
      </c>
      <c r="M26" s="3"/>
      <c r="N26" s="3"/>
      <c r="O26" s="3"/>
      <c r="P26">
        <f>SUM(E26:O26)</f>
        <v>351</v>
      </c>
    </row>
    <row r="27" spans="1:16" x14ac:dyDescent="0.35">
      <c r="A27" s="17" t="s">
        <v>15</v>
      </c>
      <c r="B27" s="3" t="s">
        <v>35</v>
      </c>
      <c r="C27" s="3" t="s">
        <v>83</v>
      </c>
      <c r="D27" s="3" t="s">
        <v>47</v>
      </c>
      <c r="E27" s="3"/>
      <c r="F27" s="3"/>
      <c r="G27" s="3"/>
      <c r="H27" s="3"/>
      <c r="I27" s="3">
        <v>41</v>
      </c>
      <c r="J27" s="3">
        <v>83</v>
      </c>
      <c r="K27" s="3">
        <v>124</v>
      </c>
      <c r="L27" s="3">
        <v>10</v>
      </c>
      <c r="M27" s="3">
        <v>11</v>
      </c>
      <c r="N27" s="3">
        <v>30</v>
      </c>
      <c r="O27" s="3">
        <v>27</v>
      </c>
      <c r="P27">
        <f t="shared" ref="P27:P44" si="2">SUM(E27:O27)</f>
        <v>326</v>
      </c>
    </row>
    <row r="28" spans="1:16" x14ac:dyDescent="0.35">
      <c r="A28" s="17" t="s">
        <v>15</v>
      </c>
      <c r="B28" s="3" t="s">
        <v>35</v>
      </c>
      <c r="C28" s="3" t="s">
        <v>83</v>
      </c>
      <c r="D28" s="3" t="s">
        <v>48</v>
      </c>
      <c r="E28" s="3"/>
      <c r="F28" s="3"/>
      <c r="G28" s="3"/>
      <c r="H28" s="3"/>
      <c r="I28" s="3"/>
      <c r="J28" s="3"/>
      <c r="K28" s="3"/>
      <c r="L28" s="3"/>
      <c r="M28" s="3">
        <v>4</v>
      </c>
      <c r="N28" s="3">
        <v>6</v>
      </c>
      <c r="O28" s="3">
        <v>8</v>
      </c>
      <c r="P28">
        <f t="shared" si="2"/>
        <v>18</v>
      </c>
    </row>
    <row r="29" spans="1:16" x14ac:dyDescent="0.35">
      <c r="A29" s="17" t="s">
        <v>15</v>
      </c>
      <c r="B29" s="3" t="s">
        <v>35</v>
      </c>
      <c r="C29" s="3" t="s">
        <v>83</v>
      </c>
      <c r="D29" s="3" t="s">
        <v>66</v>
      </c>
      <c r="E29" s="3"/>
      <c r="F29" s="3"/>
      <c r="G29" s="3"/>
      <c r="H29" s="3"/>
      <c r="I29" s="3"/>
      <c r="J29" s="3"/>
      <c r="K29" s="3">
        <v>6</v>
      </c>
      <c r="L29" s="3">
        <v>1</v>
      </c>
      <c r="M29" s="3">
        <v>2</v>
      </c>
      <c r="N29" s="3">
        <v>3</v>
      </c>
      <c r="O29" s="3">
        <v>2</v>
      </c>
      <c r="P29">
        <f t="shared" si="2"/>
        <v>14</v>
      </c>
    </row>
    <row r="30" spans="1:16" x14ac:dyDescent="0.35">
      <c r="A30" s="17" t="s">
        <v>15</v>
      </c>
      <c r="B30" s="3" t="s">
        <v>35</v>
      </c>
      <c r="C30" s="3" t="s">
        <v>83</v>
      </c>
      <c r="D30" s="3" t="s">
        <v>46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>
        <f t="shared" si="2"/>
        <v>0</v>
      </c>
    </row>
    <row r="31" spans="1:16" x14ac:dyDescent="0.35">
      <c r="A31" s="17" t="s">
        <v>15</v>
      </c>
      <c r="B31" s="3" t="s">
        <v>39</v>
      </c>
      <c r="C31" s="3" t="s">
        <v>83</v>
      </c>
      <c r="D31" s="3" t="s">
        <v>62</v>
      </c>
      <c r="E31" s="3"/>
      <c r="F31" s="3"/>
      <c r="G31" s="3"/>
      <c r="H31" s="3"/>
      <c r="I31" s="3"/>
      <c r="J31" s="3">
        <v>1</v>
      </c>
      <c r="K31" s="3"/>
      <c r="L31" s="3">
        <v>1</v>
      </c>
      <c r="M31" s="3">
        <v>125</v>
      </c>
      <c r="N31" s="3">
        <v>270</v>
      </c>
      <c r="O31" s="3"/>
      <c r="P31">
        <f t="shared" si="2"/>
        <v>397</v>
      </c>
    </row>
    <row r="32" spans="1:16" x14ac:dyDescent="0.35">
      <c r="A32" s="17" t="s">
        <v>15</v>
      </c>
      <c r="B32" s="3" t="s">
        <v>29</v>
      </c>
      <c r="C32" s="3" t="s">
        <v>83</v>
      </c>
      <c r="D32" s="11" t="s">
        <v>30</v>
      </c>
      <c r="E32" s="3"/>
      <c r="F32" s="3"/>
      <c r="G32" s="3">
        <v>2</v>
      </c>
      <c r="H32" s="3">
        <v>12</v>
      </c>
      <c r="I32" s="3">
        <v>6</v>
      </c>
      <c r="J32" s="3">
        <v>2</v>
      </c>
      <c r="K32" s="3">
        <v>1</v>
      </c>
      <c r="L32" s="3"/>
      <c r="M32" s="3"/>
      <c r="N32" s="3"/>
      <c r="O32" s="3"/>
      <c r="P32">
        <f t="shared" si="2"/>
        <v>23</v>
      </c>
    </row>
    <row r="33" spans="1:16" x14ac:dyDescent="0.35">
      <c r="A33" s="17" t="s">
        <v>15</v>
      </c>
      <c r="B33" s="3" t="s">
        <v>29</v>
      </c>
      <c r="C33" s="3" t="s">
        <v>83</v>
      </c>
      <c r="D33" s="11" t="s">
        <v>31</v>
      </c>
      <c r="E33" s="3"/>
      <c r="F33" s="3"/>
      <c r="G33" s="3"/>
      <c r="H33" s="3">
        <v>3</v>
      </c>
      <c r="I33" s="3">
        <v>2</v>
      </c>
      <c r="J33" s="3">
        <v>1</v>
      </c>
      <c r="K33" s="3">
        <v>2</v>
      </c>
      <c r="L33" s="3"/>
      <c r="M33" s="3"/>
      <c r="N33" s="3"/>
      <c r="O33" s="3"/>
      <c r="P33">
        <f t="shared" si="2"/>
        <v>8</v>
      </c>
    </row>
    <row r="34" spans="1:16" x14ac:dyDescent="0.35">
      <c r="A34" s="17" t="s">
        <v>15</v>
      </c>
      <c r="B34" s="3" t="s">
        <v>29</v>
      </c>
      <c r="C34" s="3" t="s">
        <v>83</v>
      </c>
      <c r="D34" s="11" t="s">
        <v>52</v>
      </c>
      <c r="E34" s="3"/>
      <c r="F34" s="3"/>
      <c r="G34" s="3"/>
      <c r="H34" s="3"/>
      <c r="I34" s="3"/>
      <c r="J34" s="3"/>
      <c r="K34" s="3"/>
      <c r="L34" s="3"/>
      <c r="M34" s="3"/>
      <c r="N34" s="3">
        <v>6</v>
      </c>
      <c r="O34" s="3"/>
      <c r="P34">
        <f t="shared" si="2"/>
        <v>6</v>
      </c>
    </row>
    <row r="35" spans="1:16" x14ac:dyDescent="0.35">
      <c r="A35" s="17" t="s">
        <v>15</v>
      </c>
      <c r="B35" s="3" t="s">
        <v>29</v>
      </c>
      <c r="C35" s="3" t="s">
        <v>83</v>
      </c>
      <c r="D35" s="11" t="s">
        <v>55</v>
      </c>
      <c r="E35" s="3"/>
      <c r="F35" s="3"/>
      <c r="G35" s="3"/>
      <c r="H35" s="3"/>
      <c r="I35" s="3"/>
      <c r="J35" s="3">
        <v>2</v>
      </c>
      <c r="K35" s="3">
        <v>6</v>
      </c>
      <c r="L35" s="3">
        <v>1</v>
      </c>
      <c r="M35" s="3">
        <v>1</v>
      </c>
      <c r="N35" s="3"/>
      <c r="O35" s="3"/>
      <c r="P35">
        <f t="shared" si="2"/>
        <v>10</v>
      </c>
    </row>
    <row r="36" spans="1:16" x14ac:dyDescent="0.35">
      <c r="A36" s="17" t="s">
        <v>15</v>
      </c>
      <c r="B36" s="3" t="s">
        <v>29</v>
      </c>
      <c r="C36" s="3" t="s">
        <v>83</v>
      </c>
      <c r="D36" s="11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>
        <f t="shared" si="2"/>
        <v>0</v>
      </c>
    </row>
    <row r="37" spans="1:16" x14ac:dyDescent="0.35">
      <c r="A37" s="17" t="s">
        <v>15</v>
      </c>
      <c r="B37" s="3" t="s">
        <v>29</v>
      </c>
      <c r="C37" s="3" t="s">
        <v>83</v>
      </c>
      <c r="D37" s="11" t="s">
        <v>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>
        <f t="shared" si="2"/>
        <v>0</v>
      </c>
    </row>
    <row r="38" spans="1:16" x14ac:dyDescent="0.35">
      <c r="A38" s="17" t="s">
        <v>15</v>
      </c>
      <c r="B38" s="3" t="s">
        <v>29</v>
      </c>
      <c r="C38" s="3" t="s">
        <v>83</v>
      </c>
      <c r="D38" s="11" t="s">
        <v>60</v>
      </c>
      <c r="E38" s="3">
        <v>1</v>
      </c>
      <c r="F38" s="3">
        <v>6</v>
      </c>
      <c r="G38" s="3">
        <v>7</v>
      </c>
      <c r="H38" s="3">
        <v>3</v>
      </c>
      <c r="I38" s="3">
        <v>2</v>
      </c>
      <c r="J38" s="3">
        <v>4</v>
      </c>
      <c r="K38" s="3">
        <v>9</v>
      </c>
      <c r="L38" s="3">
        <v>8</v>
      </c>
      <c r="M38" s="3">
        <v>7</v>
      </c>
      <c r="N38" s="3">
        <v>6</v>
      </c>
      <c r="O38" s="3">
        <v>1</v>
      </c>
      <c r="P38">
        <f t="shared" si="2"/>
        <v>54</v>
      </c>
    </row>
    <row r="39" spans="1:16" x14ac:dyDescent="0.35">
      <c r="A39" s="17" t="s">
        <v>15</v>
      </c>
      <c r="B39" s="3" t="s">
        <v>29</v>
      </c>
      <c r="C39" s="3" t="s">
        <v>83</v>
      </c>
      <c r="D39" s="11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1</v>
      </c>
      <c r="P39">
        <f t="shared" si="2"/>
        <v>1</v>
      </c>
    </row>
    <row r="40" spans="1:16" x14ac:dyDescent="0.35">
      <c r="A40" s="17" t="s">
        <v>15</v>
      </c>
      <c r="B40" s="3" t="s">
        <v>29</v>
      </c>
      <c r="C40" s="3" t="s">
        <v>83</v>
      </c>
      <c r="D40" s="11" t="s">
        <v>65</v>
      </c>
      <c r="E40" s="3"/>
      <c r="F40" s="3"/>
      <c r="G40" s="3">
        <v>2</v>
      </c>
      <c r="H40" s="3">
        <v>2</v>
      </c>
      <c r="I40" s="3">
        <v>1</v>
      </c>
      <c r="J40" s="3">
        <v>1</v>
      </c>
      <c r="K40" s="3">
        <v>4</v>
      </c>
      <c r="L40" s="3">
        <v>3</v>
      </c>
      <c r="M40" s="3">
        <v>2</v>
      </c>
      <c r="N40" s="3">
        <v>2</v>
      </c>
      <c r="O40" s="3">
        <v>1</v>
      </c>
      <c r="P40">
        <f t="shared" si="2"/>
        <v>18</v>
      </c>
    </row>
    <row r="41" spans="1:16" x14ac:dyDescent="0.35">
      <c r="A41" s="17" t="s">
        <v>15</v>
      </c>
      <c r="B41" s="3" t="s">
        <v>29</v>
      </c>
      <c r="C41" s="3" t="s">
        <v>83</v>
      </c>
      <c r="D41" s="11" t="s">
        <v>67</v>
      </c>
      <c r="E41" s="3"/>
      <c r="F41" s="3"/>
      <c r="G41" s="3">
        <v>1</v>
      </c>
      <c r="H41" s="3"/>
      <c r="I41" s="3"/>
      <c r="J41" s="3"/>
      <c r="K41" s="3"/>
      <c r="L41" s="3"/>
      <c r="M41" s="3"/>
      <c r="N41" s="3"/>
      <c r="O41" s="3"/>
      <c r="P41">
        <f t="shared" si="2"/>
        <v>1</v>
      </c>
    </row>
    <row r="42" spans="1:16" x14ac:dyDescent="0.35">
      <c r="A42" s="17" t="s">
        <v>15</v>
      </c>
      <c r="B42" s="3" t="s">
        <v>19</v>
      </c>
      <c r="C42" s="3" t="s">
        <v>83</v>
      </c>
      <c r="D42" s="3" t="s">
        <v>17</v>
      </c>
      <c r="E42" s="3"/>
      <c r="F42" s="3">
        <v>1</v>
      </c>
      <c r="G42" s="3"/>
      <c r="H42" s="3"/>
      <c r="I42" s="3"/>
      <c r="J42" s="3"/>
      <c r="K42" s="3"/>
      <c r="L42" s="3"/>
      <c r="M42" s="3"/>
      <c r="N42" s="3"/>
      <c r="O42" s="3"/>
      <c r="P42">
        <f t="shared" si="2"/>
        <v>1</v>
      </c>
    </row>
    <row r="43" spans="1:16" x14ac:dyDescent="0.35">
      <c r="A43" s="17" t="s">
        <v>15</v>
      </c>
      <c r="B43" s="3" t="s">
        <v>19</v>
      </c>
      <c r="C43" s="3" t="s">
        <v>83</v>
      </c>
      <c r="D43" s="3" t="s">
        <v>24</v>
      </c>
      <c r="E43" s="3"/>
      <c r="F43" s="3"/>
      <c r="G43" s="3"/>
      <c r="H43" s="3"/>
      <c r="I43" s="3"/>
      <c r="J43" s="3">
        <v>3</v>
      </c>
      <c r="K43" s="3"/>
      <c r="L43" s="3"/>
      <c r="M43" s="3"/>
      <c r="N43" s="3"/>
      <c r="O43" s="3"/>
      <c r="P43">
        <f t="shared" si="2"/>
        <v>3</v>
      </c>
    </row>
    <row r="44" spans="1:16" x14ac:dyDescent="0.35">
      <c r="A44" s="17" t="s">
        <v>34</v>
      </c>
      <c r="B44" s="11" t="s">
        <v>63</v>
      </c>
      <c r="C44" s="3" t="s">
        <v>83</v>
      </c>
      <c r="D44" s="11" t="s">
        <v>63</v>
      </c>
      <c r="E44" s="3"/>
      <c r="F44" s="3"/>
      <c r="G44" s="3"/>
      <c r="H44" s="3"/>
      <c r="I44" s="3"/>
      <c r="J44" s="3">
        <v>5</v>
      </c>
      <c r="K44" s="3"/>
      <c r="L44" s="3"/>
      <c r="M44" s="3"/>
      <c r="N44" s="3"/>
      <c r="O44" s="3"/>
      <c r="P44">
        <f t="shared" si="2"/>
        <v>5</v>
      </c>
    </row>
    <row r="47" spans="1:16" x14ac:dyDescent="0.35">
      <c r="E47" s="3" t="s">
        <v>4</v>
      </c>
      <c r="F47" s="3" t="s">
        <v>5</v>
      </c>
      <c r="G47" s="3" t="s">
        <v>6</v>
      </c>
      <c r="H47" s="3" t="s">
        <v>7</v>
      </c>
      <c r="I47" s="3" t="s">
        <v>8</v>
      </c>
      <c r="J47" s="3" t="s">
        <v>9</v>
      </c>
      <c r="K47" s="3" t="s">
        <v>10</v>
      </c>
      <c r="L47" s="3" t="s">
        <v>11</v>
      </c>
      <c r="M47" s="3" t="s">
        <v>12</v>
      </c>
      <c r="N47" s="3" t="s">
        <v>13</v>
      </c>
      <c r="O47" s="3" t="s">
        <v>14</v>
      </c>
    </row>
    <row r="48" spans="1:16" x14ac:dyDescent="0.35">
      <c r="A48" s="17" t="s">
        <v>15</v>
      </c>
      <c r="B48" s="3" t="s">
        <v>35</v>
      </c>
      <c r="C48" s="3" t="s">
        <v>84</v>
      </c>
      <c r="D48" s="3" t="s">
        <v>46</v>
      </c>
      <c r="E48" s="3"/>
      <c r="F48" s="3"/>
      <c r="G48" s="3"/>
      <c r="H48" s="3">
        <v>34</v>
      </c>
      <c r="I48" s="3">
        <v>9</v>
      </c>
      <c r="J48" s="3">
        <v>2</v>
      </c>
      <c r="K48" s="3">
        <v>28</v>
      </c>
      <c r="L48" s="3">
        <v>95</v>
      </c>
      <c r="M48" s="3">
        <v>4</v>
      </c>
      <c r="N48" s="3"/>
      <c r="O48" s="3"/>
    </row>
    <row r="49" spans="1:15" x14ac:dyDescent="0.35">
      <c r="A49" s="17" t="s">
        <v>15</v>
      </c>
      <c r="B49" s="3" t="s">
        <v>35</v>
      </c>
      <c r="C49" s="3" t="s">
        <v>84</v>
      </c>
      <c r="D49" s="3" t="s">
        <v>47</v>
      </c>
      <c r="E49" s="3"/>
      <c r="F49" s="3"/>
      <c r="G49" s="3"/>
      <c r="H49" s="3"/>
      <c r="I49" s="3">
        <v>8</v>
      </c>
      <c r="J49" s="3">
        <v>3</v>
      </c>
      <c r="K49" s="3">
        <v>4</v>
      </c>
      <c r="L49" s="3">
        <v>67</v>
      </c>
      <c r="M49" s="3">
        <v>37</v>
      </c>
      <c r="N49" s="3">
        <v>33</v>
      </c>
      <c r="O49" s="3"/>
    </row>
    <row r="50" spans="1:15" x14ac:dyDescent="0.35">
      <c r="A50" s="17" t="s">
        <v>15</v>
      </c>
      <c r="B50" s="3" t="s">
        <v>35</v>
      </c>
      <c r="C50" s="3" t="s">
        <v>84</v>
      </c>
      <c r="D50" s="3" t="s">
        <v>48</v>
      </c>
      <c r="E50" s="3"/>
      <c r="F50" s="3"/>
      <c r="G50" s="3"/>
      <c r="H50" s="3"/>
      <c r="I50" s="3"/>
      <c r="J50" s="3"/>
      <c r="K50" s="3"/>
      <c r="L50" s="3"/>
      <c r="M50" s="3">
        <v>19</v>
      </c>
      <c r="N50" s="3">
        <v>9</v>
      </c>
      <c r="O50" s="3"/>
    </row>
    <row r="51" spans="1:15" x14ac:dyDescent="0.35">
      <c r="A51" s="17" t="s">
        <v>15</v>
      </c>
      <c r="B51" s="3" t="s">
        <v>35</v>
      </c>
      <c r="C51" s="3" t="s">
        <v>84</v>
      </c>
      <c r="D51" s="3" t="s">
        <v>66</v>
      </c>
      <c r="E51" s="3"/>
      <c r="F51" s="3"/>
      <c r="G51" s="3"/>
      <c r="H51" s="3"/>
      <c r="I51" s="3"/>
      <c r="J51" s="3"/>
      <c r="K51" s="3">
        <v>4</v>
      </c>
      <c r="L51" s="3">
        <v>5</v>
      </c>
      <c r="M51" s="3">
        <v>4</v>
      </c>
      <c r="N51" s="3">
        <v>6</v>
      </c>
      <c r="O51" s="3"/>
    </row>
    <row r="52" spans="1:15" x14ac:dyDescent="0.35">
      <c r="A52" s="17" t="s">
        <v>15</v>
      </c>
      <c r="B52" s="3" t="s">
        <v>35</v>
      </c>
      <c r="C52" s="3" t="s">
        <v>84</v>
      </c>
      <c r="D52" s="3" t="s">
        <v>46</v>
      </c>
      <c r="E52" s="3"/>
      <c r="F52" s="3"/>
      <c r="G52" s="3"/>
      <c r="H52" s="3">
        <v>2</v>
      </c>
      <c r="I52" s="3"/>
      <c r="J52" s="3"/>
      <c r="K52" s="3"/>
      <c r="L52" s="3"/>
      <c r="M52" s="3"/>
      <c r="N52" s="3"/>
      <c r="O52" s="3"/>
    </row>
    <row r="53" spans="1:15" x14ac:dyDescent="0.35">
      <c r="A53" s="17" t="s">
        <v>15</v>
      </c>
      <c r="B53" s="3" t="s">
        <v>39</v>
      </c>
      <c r="C53" s="3" t="s">
        <v>84</v>
      </c>
      <c r="D53" s="3" t="s">
        <v>62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5">
      <c r="A54" s="17" t="s">
        <v>15</v>
      </c>
      <c r="B54" s="3" t="s">
        <v>29</v>
      </c>
      <c r="C54" s="3" t="s">
        <v>84</v>
      </c>
      <c r="D54" s="11" t="s">
        <v>30</v>
      </c>
      <c r="E54" s="3"/>
      <c r="F54" s="3"/>
      <c r="G54" s="3"/>
      <c r="H54" s="3">
        <v>28</v>
      </c>
      <c r="I54" s="3">
        <v>8</v>
      </c>
      <c r="J54" s="3">
        <v>4</v>
      </c>
      <c r="K54" s="3"/>
      <c r="L54" s="3"/>
      <c r="M54" s="3"/>
      <c r="N54" s="3"/>
      <c r="O54" s="3"/>
    </row>
    <row r="55" spans="1:15" x14ac:dyDescent="0.35">
      <c r="A55" s="17" t="s">
        <v>15</v>
      </c>
      <c r="B55" s="3" t="s">
        <v>29</v>
      </c>
      <c r="C55" s="3" t="s">
        <v>84</v>
      </c>
      <c r="D55" s="11" t="s">
        <v>31</v>
      </c>
      <c r="E55" s="3"/>
      <c r="F55" s="3"/>
      <c r="G55" s="3"/>
      <c r="H55" s="3">
        <v>5</v>
      </c>
      <c r="I55" s="3">
        <v>1</v>
      </c>
      <c r="J55" s="3"/>
      <c r="K55" s="3">
        <v>2</v>
      </c>
      <c r="L55" s="3">
        <v>1</v>
      </c>
      <c r="M55" s="3">
        <v>1</v>
      </c>
      <c r="N55" s="3"/>
      <c r="O55" s="3"/>
    </row>
    <row r="56" spans="1:15" x14ac:dyDescent="0.35">
      <c r="A56" s="17" t="s">
        <v>15</v>
      </c>
      <c r="B56" s="3" t="s">
        <v>29</v>
      </c>
      <c r="C56" s="3" t="s">
        <v>84</v>
      </c>
      <c r="D56" s="11" t="s">
        <v>52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5">
      <c r="A57" s="17" t="s">
        <v>15</v>
      </c>
      <c r="B57" s="3" t="s">
        <v>29</v>
      </c>
      <c r="C57" s="3" t="s">
        <v>84</v>
      </c>
      <c r="D57" s="11" t="s">
        <v>55</v>
      </c>
      <c r="E57" s="3"/>
      <c r="F57" s="3"/>
      <c r="G57" s="3"/>
      <c r="H57" s="3"/>
      <c r="I57" s="3"/>
      <c r="J57" s="3">
        <v>2</v>
      </c>
      <c r="K57" s="3">
        <v>5</v>
      </c>
      <c r="L57" s="3">
        <v>3</v>
      </c>
      <c r="M57" s="3"/>
      <c r="N57" s="3">
        <v>2</v>
      </c>
      <c r="O57" s="3"/>
    </row>
    <row r="58" spans="1:15" x14ac:dyDescent="0.35">
      <c r="A58" s="17" t="s">
        <v>15</v>
      </c>
      <c r="B58" s="3" t="s">
        <v>29</v>
      </c>
      <c r="C58" s="3" t="s">
        <v>84</v>
      </c>
      <c r="D58" s="11" t="s">
        <v>58</v>
      </c>
      <c r="E58" s="3"/>
      <c r="F58" s="3"/>
      <c r="G58" s="3">
        <v>2</v>
      </c>
      <c r="H58" s="3"/>
      <c r="I58" s="3"/>
      <c r="J58" s="3"/>
      <c r="K58" s="3"/>
      <c r="L58" s="3"/>
      <c r="M58" s="3"/>
      <c r="N58" s="3"/>
      <c r="O58" s="3"/>
    </row>
    <row r="59" spans="1:15" x14ac:dyDescent="0.35">
      <c r="A59" s="17" t="s">
        <v>15</v>
      </c>
      <c r="B59" s="3" t="s">
        <v>29</v>
      </c>
      <c r="C59" s="3" t="s">
        <v>84</v>
      </c>
      <c r="D59" s="11" t="s">
        <v>59</v>
      </c>
      <c r="E59" s="3"/>
      <c r="F59" s="3"/>
      <c r="G59" s="3"/>
      <c r="H59" s="3"/>
      <c r="I59" s="3">
        <v>1</v>
      </c>
      <c r="J59" s="3">
        <v>1</v>
      </c>
      <c r="K59" s="3"/>
      <c r="L59" s="3"/>
      <c r="M59" s="3">
        <v>1</v>
      </c>
      <c r="N59" s="3">
        <v>2</v>
      </c>
      <c r="O59" s="3"/>
    </row>
    <row r="60" spans="1:15" x14ac:dyDescent="0.35">
      <c r="A60" s="17" t="s">
        <v>15</v>
      </c>
      <c r="B60" s="3" t="s">
        <v>29</v>
      </c>
      <c r="C60" s="3" t="s">
        <v>84</v>
      </c>
      <c r="D60" s="11" t="s">
        <v>60</v>
      </c>
      <c r="E60" s="3">
        <v>1</v>
      </c>
      <c r="F60" s="3">
        <v>11</v>
      </c>
      <c r="G60" s="3">
        <v>1</v>
      </c>
      <c r="H60" s="3"/>
      <c r="I60" s="3">
        <v>2</v>
      </c>
      <c r="J60" s="3">
        <v>2</v>
      </c>
      <c r="K60" s="3">
        <v>2</v>
      </c>
      <c r="L60" s="3">
        <v>2</v>
      </c>
      <c r="M60" s="3">
        <v>2</v>
      </c>
      <c r="N60" s="3">
        <v>2</v>
      </c>
      <c r="O60" s="3"/>
    </row>
    <row r="61" spans="1:15" x14ac:dyDescent="0.35">
      <c r="A61" s="17" t="s">
        <v>15</v>
      </c>
      <c r="B61" s="3" t="s">
        <v>29</v>
      </c>
      <c r="C61" s="3" t="s">
        <v>84</v>
      </c>
      <c r="D61" s="11" t="s">
        <v>64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5">
      <c r="A62" s="17" t="s">
        <v>15</v>
      </c>
      <c r="B62" s="3" t="s">
        <v>29</v>
      </c>
      <c r="C62" s="3" t="s">
        <v>84</v>
      </c>
      <c r="D62" s="11" t="s">
        <v>65</v>
      </c>
      <c r="E62" s="3"/>
      <c r="F62" s="3">
        <v>3</v>
      </c>
      <c r="G62" s="3">
        <v>1</v>
      </c>
      <c r="H62" s="3">
        <v>8</v>
      </c>
      <c r="I62" s="3">
        <v>2</v>
      </c>
      <c r="J62" s="3">
        <v>6</v>
      </c>
      <c r="K62" s="3">
        <v>1</v>
      </c>
      <c r="L62" s="3">
        <v>6</v>
      </c>
      <c r="M62" s="3">
        <v>6</v>
      </c>
      <c r="N62" s="3">
        <v>8</v>
      </c>
      <c r="O62" s="3">
        <v>2</v>
      </c>
    </row>
    <row r="63" spans="1:15" x14ac:dyDescent="0.35">
      <c r="A63" s="17" t="s">
        <v>15</v>
      </c>
      <c r="B63" s="3" t="s">
        <v>29</v>
      </c>
      <c r="C63" s="3" t="s">
        <v>84</v>
      </c>
      <c r="D63" s="11" t="s">
        <v>67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5">
      <c r="A64" s="17" t="s">
        <v>34</v>
      </c>
      <c r="B64" s="11" t="s">
        <v>63</v>
      </c>
      <c r="C64" s="3" t="s">
        <v>84</v>
      </c>
      <c r="D64" s="11" t="s">
        <v>63</v>
      </c>
      <c r="E64" s="3"/>
      <c r="F64" s="3"/>
      <c r="G64" s="3"/>
      <c r="H64" s="3"/>
      <c r="I64" s="3"/>
      <c r="J64" s="3">
        <v>-1</v>
      </c>
      <c r="K64" s="3"/>
      <c r="L64" s="3"/>
      <c r="M64" s="3"/>
      <c r="N64" s="3"/>
      <c r="O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Szczegóły1</vt:lpstr>
      <vt:lpstr>Sheet3</vt:lpstr>
      <vt:lpstr>MLe+ Leady</vt:lpstr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2025-11-09T14:34:11Z</dcterms:created>
  <dcterms:modified xsi:type="dcterms:W3CDTF">2026-01-12T17:32:00Z</dcterms:modified>
</cp:coreProperties>
</file>